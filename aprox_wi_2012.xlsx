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o\Desktop\"/>
    </mc:Choice>
  </mc:AlternateContent>
  <xr:revisionPtr revIDLastSave="0" documentId="8_{B8C35531-5216-48C2-8555-224AC1CF4A0E}" xr6:coauthVersionLast="47" xr6:coauthVersionMax="47" xr10:uidLastSave="{00000000-0000-0000-0000-000000000000}"/>
  <bookViews>
    <workbookView xWindow="-108" yWindow="-108" windowWidth="23256" windowHeight="12456" xr2:uid="{9376D1AB-B23C-435D-AEFF-23BDCFF89DC1}"/>
  </bookViews>
  <sheets>
    <sheet name="2012" sheetId="1" r:id="rId1"/>
    <sheet name="mapa_wi_201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" i="1" l="1"/>
  <c r="L6" i="1"/>
  <c r="L4" i="1"/>
  <c r="L5" i="1"/>
  <c r="I343" i="1"/>
  <c r="I342" i="1"/>
  <c r="H343" i="1"/>
  <c r="H342" i="1"/>
  <c r="L9" i="1" l="1"/>
</calcChain>
</file>

<file path=xl/sharedStrings.xml><?xml version="1.0" encoding="utf-8"?>
<sst xmlns="http://schemas.openxmlformats.org/spreadsheetml/2006/main" count="354" uniqueCount="17">
  <si>
    <t>MUN</t>
  </si>
  <si>
    <t>Q5 (más rico)</t>
  </si>
  <si>
    <t>Q4</t>
  </si>
  <si>
    <t>Q1 (más pobre)</t>
  </si>
  <si>
    <t>Q2</t>
  </si>
  <si>
    <t>Q3</t>
  </si>
  <si>
    <t>tot_hog</t>
  </si>
  <si>
    <t>wi_2012</t>
  </si>
  <si>
    <t>Q_wi</t>
  </si>
  <si>
    <t>q1_num_hog</t>
  </si>
  <si>
    <t>q2_num_hog</t>
  </si>
  <si>
    <t xml:space="preserve">ODS alcanzado </t>
  </si>
  <si>
    <t>Próximo a alcanzarse</t>
  </si>
  <si>
    <t>Quedan retos importantes</t>
  </si>
  <si>
    <t>Quedan retos grandes</t>
  </si>
  <si>
    <t>Informacion no disponible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</si>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</sst>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9B158"/>
      <color rgb="FFEECA3B"/>
      <color rgb="FFE98139"/>
      <color rgb="FFDC36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'2012'!$L$3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9B15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97C-4858-AC4D-7179B6ADAC05}"/>
              </c:ext>
            </c:extLst>
          </c:dPt>
          <c:dPt>
            <c:idx val="1"/>
            <c:invertIfNegative val="0"/>
            <c:bubble3D val="0"/>
            <c:spPr>
              <a:solidFill>
                <a:srgbClr val="EECA3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97C-4858-AC4D-7179B6ADAC05}"/>
              </c:ext>
            </c:extLst>
          </c:dPt>
          <c:dPt>
            <c:idx val="2"/>
            <c:invertIfNegative val="0"/>
            <c:bubble3D val="0"/>
            <c:spPr>
              <a:solidFill>
                <a:srgbClr val="E9813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7C-4858-AC4D-7179B6ADAC05}"/>
              </c:ext>
            </c:extLst>
          </c:dPt>
          <c:dPt>
            <c:idx val="3"/>
            <c:invertIfNegative val="0"/>
            <c:bubble3D val="0"/>
            <c:spPr>
              <a:solidFill>
                <a:srgbClr val="DC364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97C-4858-AC4D-7179B6ADAC05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97C-4858-AC4D-7179B6ADAC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'2012'!$K$4:$K$8</c:f>
              <c:strCache>
                <c:ptCount val="5"/>
                <c:pt idx="0">
                  <c:v>ODS alcanzado </c:v>
                </c:pt>
                <c:pt idx="1">
                  <c:v>Próximo a alcanzarse</c:v>
                </c:pt>
                <c:pt idx="2">
                  <c:v>Quedan retos importantes</c:v>
                </c:pt>
                <c:pt idx="3">
                  <c:v>Quedan retos grandes</c:v>
                </c:pt>
                <c:pt idx="4">
                  <c:v>Informacion no disponible</c:v>
                </c:pt>
              </c:strCache>
            </c:strRef>
          </c:cat>
          <c:val>
            <c:numRef>
              <c:f>'2012'!$L$4:$L$8</c:f>
              <c:numCache>
                <c:formatCode>0</c:formatCode>
                <c:ptCount val="5"/>
                <c:pt idx="0">
                  <c:v>58</c:v>
                </c:pt>
                <c:pt idx="1">
                  <c:v>90</c:v>
                </c:pt>
                <c:pt idx="2" formatCode="General">
                  <c:v>135</c:v>
                </c:pt>
                <c:pt idx="3" formatCode="General">
                  <c:v>56</c:v>
                </c:pt>
                <c:pt idx="4" formatCode="General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7C-4858-AC4D-7179B6ADA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926400687"/>
        <c:axId val="926384367"/>
      </c:barChart>
      <c:catAx>
        <c:axId val="92640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26384367"/>
        <c:crosses val="autoZero"/>
        <c:auto val="1"/>
        <c:lblAlgn val="ctr"/>
        <c:lblOffset val="100"/>
        <c:noMultiLvlLbl val="0"/>
      </c:catAx>
      <c:valAx>
        <c:axId val="92638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2640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10</xdr:row>
      <xdr:rowOff>3810</xdr:rowOff>
    </xdr:from>
    <xdr:to>
      <xdr:col>16</xdr:col>
      <xdr:colOff>0</xdr:colOff>
      <xdr:row>28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857690-D2C8-6F36-29D4-632A23CA91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53340</xdr:rowOff>
    </xdr:from>
    <xdr:to>
      <xdr:col>9</xdr:col>
      <xdr:colOff>298185</xdr:colOff>
      <xdr:row>32</xdr:row>
      <xdr:rowOff>69399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286B2F-4EA8-BADF-BF1F-3B885307C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53340"/>
          <a:ext cx="7201905" cy="5868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1EEAB-DD7B-4156-AE97-2F7CEEB11D41}">
  <dimension ref="A1:L343"/>
  <sheetViews>
    <sheetView tabSelected="1" topLeftCell="D17" zoomScale="85" zoomScaleNormal="85" workbookViewId="0">
      <selection activeCell="R17" sqref="R17"/>
    </sheetView>
  </sheetViews>
  <sheetFormatPr baseColWidth="10" defaultRowHeight="14.4" x14ac:dyDescent="0.3"/>
  <cols>
    <col min="9" max="9" width="23" customWidth="1"/>
    <col min="11" max="11" width="23.88671875" customWidth="1"/>
  </cols>
  <sheetData>
    <row r="1" spans="1:12" x14ac:dyDescent="0.3">
      <c r="A1" t="s">
        <v>0</v>
      </c>
      <c r="B1" t="s">
        <v>9</v>
      </c>
      <c r="C1" t="s">
        <v>10</v>
      </c>
      <c r="D1" t="s">
        <v>9</v>
      </c>
      <c r="E1" t="s">
        <v>10</v>
      </c>
      <c r="F1" t="s">
        <v>9</v>
      </c>
      <c r="G1" t="s">
        <v>6</v>
      </c>
      <c r="H1" t="s">
        <v>7</v>
      </c>
      <c r="I1" t="s">
        <v>8</v>
      </c>
    </row>
    <row r="2" spans="1:12" x14ac:dyDescent="0.3">
      <c r="A2" s="1">
        <v>10101</v>
      </c>
      <c r="B2" s="1">
        <v>4513</v>
      </c>
      <c r="C2" s="1">
        <v>6319</v>
      </c>
      <c r="D2" s="1">
        <v>13011</v>
      </c>
      <c r="E2" s="1">
        <v>18923</v>
      </c>
      <c r="F2" s="1">
        <v>27069</v>
      </c>
      <c r="G2" s="1">
        <v>69835</v>
      </c>
      <c r="H2" s="3">
        <v>0.54139357805252075</v>
      </c>
      <c r="I2" t="s">
        <v>1</v>
      </c>
    </row>
    <row r="3" spans="1:12" x14ac:dyDescent="0.3">
      <c r="A3" s="1">
        <v>10102</v>
      </c>
      <c r="B3" s="1">
        <v>450</v>
      </c>
      <c r="C3" s="1">
        <v>1139</v>
      </c>
      <c r="D3" s="1">
        <v>641</v>
      </c>
      <c r="E3" s="1">
        <v>311</v>
      </c>
      <c r="F3" s="1">
        <v>105</v>
      </c>
      <c r="G3" s="1">
        <v>2646</v>
      </c>
      <c r="H3" s="3">
        <v>-0.27168640494346619</v>
      </c>
      <c r="I3" t="s">
        <v>2</v>
      </c>
      <c r="L3">
        <v>2012</v>
      </c>
    </row>
    <row r="4" spans="1:12" x14ac:dyDescent="0.3">
      <c r="A4" s="1">
        <v>10103</v>
      </c>
      <c r="B4" s="1">
        <v>3823</v>
      </c>
      <c r="C4" s="1">
        <v>932</v>
      </c>
      <c r="D4" s="1">
        <v>95</v>
      </c>
      <c r="E4" s="1">
        <v>42</v>
      </c>
      <c r="F4" s="1">
        <v>3</v>
      </c>
      <c r="G4" s="1">
        <v>4895</v>
      </c>
      <c r="H4" s="3">
        <v>-1.4572731256484985</v>
      </c>
      <c r="I4" t="s">
        <v>3</v>
      </c>
      <c r="K4" s="2" t="s">
        <v>11</v>
      </c>
      <c r="L4" s="1">
        <f>COUNTIF(H2:H340,"&gt;=-0,17")</f>
        <v>58</v>
      </c>
    </row>
    <row r="5" spans="1:12" x14ac:dyDescent="0.3">
      <c r="A5" s="1">
        <v>10201</v>
      </c>
      <c r="B5" s="1">
        <v>1859</v>
      </c>
      <c r="C5" s="1">
        <v>415</v>
      </c>
      <c r="D5" s="1">
        <v>132</v>
      </c>
      <c r="E5" s="1">
        <v>98</v>
      </c>
      <c r="F5" s="1">
        <v>34</v>
      </c>
      <c r="G5" s="1">
        <v>2538</v>
      </c>
      <c r="H5" s="3">
        <v>-1.3764030933380127</v>
      </c>
      <c r="I5" t="s">
        <v>3</v>
      </c>
      <c r="K5" s="2" t="s">
        <v>12</v>
      </c>
      <c r="L5" s="1">
        <f>COUNTIFS(H2:H340,"&gt;=-0,76",H2:H340,"&lt;-0,17")</f>
        <v>90</v>
      </c>
    </row>
    <row r="6" spans="1:12" x14ac:dyDescent="0.3">
      <c r="A6" s="1">
        <v>10202</v>
      </c>
      <c r="B6" s="1">
        <v>2349</v>
      </c>
      <c r="C6" s="1">
        <v>753</v>
      </c>
      <c r="D6" s="1">
        <v>202</v>
      </c>
      <c r="E6" s="1">
        <v>88</v>
      </c>
      <c r="F6" s="1">
        <v>26</v>
      </c>
      <c r="G6" s="1">
        <v>3418</v>
      </c>
      <c r="H6" s="3">
        <v>-1.2777379751205444</v>
      </c>
      <c r="I6" t="s">
        <v>3</v>
      </c>
      <c r="K6" t="s">
        <v>13</v>
      </c>
      <c r="L6">
        <f>COUNTIFS(H2:H340,"&gt;=-1,34",H2:H340,"&lt;-0,76")</f>
        <v>135</v>
      </c>
    </row>
    <row r="7" spans="1:12" x14ac:dyDescent="0.3">
      <c r="A7" s="1">
        <v>10301</v>
      </c>
      <c r="B7" s="1">
        <v>1043</v>
      </c>
      <c r="C7" s="1">
        <v>918</v>
      </c>
      <c r="D7" s="1">
        <v>415</v>
      </c>
      <c r="E7" s="1">
        <v>159</v>
      </c>
      <c r="F7" s="1">
        <v>51</v>
      </c>
      <c r="G7" s="1">
        <v>2586</v>
      </c>
      <c r="H7" s="3">
        <v>-0.69759279489517212</v>
      </c>
      <c r="I7" t="s">
        <v>2</v>
      </c>
      <c r="K7" t="s">
        <v>14</v>
      </c>
      <c r="L7">
        <f>COUNTIF(H2:H340,"&lt;-1,34")</f>
        <v>56</v>
      </c>
    </row>
    <row r="8" spans="1:12" x14ac:dyDescent="0.3">
      <c r="A8" s="1">
        <v>10302</v>
      </c>
      <c r="B8" s="1">
        <v>1710</v>
      </c>
      <c r="C8" s="1">
        <v>687</v>
      </c>
      <c r="D8" s="1">
        <v>220</v>
      </c>
      <c r="E8" s="1">
        <v>84</v>
      </c>
      <c r="F8" s="1">
        <v>16</v>
      </c>
      <c r="G8" s="1">
        <v>2717</v>
      </c>
      <c r="H8" s="3">
        <v>-1.204268217086792</v>
      </c>
      <c r="I8" t="s">
        <v>4</v>
      </c>
      <c r="K8" t="s">
        <v>15</v>
      </c>
      <c r="L8">
        <v>4</v>
      </c>
    </row>
    <row r="9" spans="1:12" x14ac:dyDescent="0.3">
      <c r="A9" s="1">
        <v>10303</v>
      </c>
      <c r="B9" s="1">
        <v>1025</v>
      </c>
      <c r="C9" s="1">
        <v>508</v>
      </c>
      <c r="D9" s="1">
        <v>320</v>
      </c>
      <c r="E9" s="1">
        <v>98</v>
      </c>
      <c r="F9" s="1">
        <v>31</v>
      </c>
      <c r="G9" s="1">
        <v>1982</v>
      </c>
      <c r="H9" s="3">
        <v>-0.80385088920593262</v>
      </c>
      <c r="I9" t="s">
        <v>5</v>
      </c>
      <c r="K9" t="s">
        <v>16</v>
      </c>
      <c r="L9" s="1">
        <f>SUM(L4:L8)</f>
        <v>343</v>
      </c>
    </row>
    <row r="10" spans="1:12" x14ac:dyDescent="0.3">
      <c r="A10" s="1">
        <v>10304</v>
      </c>
      <c r="B10" s="1">
        <v>805</v>
      </c>
      <c r="C10" s="1">
        <v>767</v>
      </c>
      <c r="D10" s="1">
        <v>186</v>
      </c>
      <c r="E10" s="1">
        <v>50</v>
      </c>
      <c r="F10" s="1">
        <v>23</v>
      </c>
      <c r="G10" s="1">
        <v>1831</v>
      </c>
      <c r="H10" s="3">
        <v>-0.8933262825012207</v>
      </c>
      <c r="I10" t="s">
        <v>5</v>
      </c>
    </row>
    <row r="11" spans="1:12" x14ac:dyDescent="0.3">
      <c r="A11" s="1">
        <v>10401</v>
      </c>
      <c r="B11" s="1">
        <v>1402</v>
      </c>
      <c r="C11" s="1">
        <v>554</v>
      </c>
      <c r="D11" s="1">
        <v>439</v>
      </c>
      <c r="E11" s="1">
        <v>276</v>
      </c>
      <c r="F11" s="1">
        <v>139</v>
      </c>
      <c r="G11" s="1">
        <v>2810</v>
      </c>
      <c r="H11" s="3">
        <v>-0.69586288928985596</v>
      </c>
      <c r="I11" t="s">
        <v>2</v>
      </c>
    </row>
    <row r="12" spans="1:12" x14ac:dyDescent="0.3">
      <c r="A12" s="1">
        <v>10402</v>
      </c>
      <c r="B12" s="1">
        <v>966</v>
      </c>
      <c r="C12" s="1">
        <v>731</v>
      </c>
      <c r="D12" s="1">
        <v>256</v>
      </c>
      <c r="E12" s="1">
        <v>123</v>
      </c>
      <c r="F12" s="1">
        <v>37</v>
      </c>
      <c r="G12" s="1">
        <v>2113</v>
      </c>
      <c r="H12" s="3">
        <v>-0.74798583984375</v>
      </c>
      <c r="I12" t="s">
        <v>5</v>
      </c>
    </row>
    <row r="13" spans="1:12" x14ac:dyDescent="0.3">
      <c r="A13" s="1">
        <v>10403</v>
      </c>
      <c r="B13" s="1">
        <v>1072</v>
      </c>
      <c r="C13" s="1">
        <v>511</v>
      </c>
      <c r="D13" s="1">
        <v>257</v>
      </c>
      <c r="E13" s="1">
        <v>124</v>
      </c>
      <c r="F13" s="1">
        <v>46</v>
      </c>
      <c r="G13" s="1">
        <v>2010</v>
      </c>
      <c r="H13" s="3">
        <v>-0.90148031711578369</v>
      </c>
      <c r="I13" t="s">
        <v>5</v>
      </c>
    </row>
    <row r="14" spans="1:12" x14ac:dyDescent="0.3">
      <c r="A14" s="1">
        <v>10404</v>
      </c>
      <c r="B14" s="1">
        <v>490</v>
      </c>
      <c r="C14" s="1">
        <v>314</v>
      </c>
      <c r="D14" s="1">
        <v>157</v>
      </c>
      <c r="E14" s="1">
        <v>77</v>
      </c>
      <c r="F14" s="1">
        <v>34</v>
      </c>
      <c r="G14" s="1">
        <v>1072</v>
      </c>
      <c r="H14" s="3">
        <v>-0.70865762233734131</v>
      </c>
      <c r="I14" t="s">
        <v>2</v>
      </c>
    </row>
    <row r="15" spans="1:12" x14ac:dyDescent="0.3">
      <c r="A15" s="1">
        <v>10405</v>
      </c>
      <c r="B15" s="1">
        <v>699</v>
      </c>
      <c r="C15" s="1">
        <v>325</v>
      </c>
      <c r="D15" s="1">
        <v>96</v>
      </c>
      <c r="E15" s="1">
        <v>62</v>
      </c>
      <c r="F15" s="1">
        <v>30</v>
      </c>
      <c r="G15" s="1">
        <v>1212</v>
      </c>
      <c r="H15" s="3">
        <v>-1.0307986736297607</v>
      </c>
      <c r="I15" t="s">
        <v>4</v>
      </c>
    </row>
    <row r="16" spans="1:12" x14ac:dyDescent="0.3">
      <c r="A16" s="1">
        <v>10501</v>
      </c>
      <c r="B16" s="1">
        <v>1926</v>
      </c>
      <c r="C16" s="1">
        <v>1396</v>
      </c>
      <c r="D16" s="1">
        <v>1042</v>
      </c>
      <c r="E16" s="1">
        <v>917</v>
      </c>
      <c r="F16" s="1">
        <v>798</v>
      </c>
      <c r="G16" s="1">
        <v>6079</v>
      </c>
      <c r="H16" s="3">
        <v>-0.30744388699531555</v>
      </c>
      <c r="I16" t="s">
        <v>2</v>
      </c>
    </row>
    <row r="17" spans="1:9" x14ac:dyDescent="0.3">
      <c r="A17" s="1">
        <v>10502</v>
      </c>
      <c r="B17" s="1">
        <v>993</v>
      </c>
      <c r="C17" s="1">
        <v>720</v>
      </c>
      <c r="D17" s="1">
        <v>232</v>
      </c>
      <c r="E17" s="1">
        <v>110</v>
      </c>
      <c r="F17" s="1">
        <v>24</v>
      </c>
      <c r="G17" s="1">
        <v>2079</v>
      </c>
      <c r="H17" s="3">
        <v>-0.84361916780471802</v>
      </c>
      <c r="I17" t="s">
        <v>5</v>
      </c>
    </row>
    <row r="18" spans="1:9" x14ac:dyDescent="0.3">
      <c r="A18" s="1">
        <v>10601</v>
      </c>
      <c r="B18" s="1">
        <v>2124</v>
      </c>
      <c r="C18" s="1">
        <v>1447</v>
      </c>
      <c r="D18" s="1">
        <v>562</v>
      </c>
      <c r="E18" s="1">
        <v>214</v>
      </c>
      <c r="F18" s="1">
        <v>39</v>
      </c>
      <c r="G18" s="1">
        <v>4386</v>
      </c>
      <c r="H18" s="3">
        <v>-0.88550633192062378</v>
      </c>
      <c r="I18" t="s">
        <v>5</v>
      </c>
    </row>
    <row r="19" spans="1:9" x14ac:dyDescent="0.3">
      <c r="A19" s="1">
        <v>10602</v>
      </c>
      <c r="B19" s="1">
        <v>1298</v>
      </c>
      <c r="C19" s="1">
        <v>1204</v>
      </c>
      <c r="D19" s="1">
        <v>323</v>
      </c>
      <c r="E19" s="1">
        <v>99</v>
      </c>
      <c r="F19" s="1">
        <v>26</v>
      </c>
      <c r="G19" s="1">
        <v>2950</v>
      </c>
      <c r="H19" s="3">
        <v>-0.84185934066772461</v>
      </c>
      <c r="I19" t="s">
        <v>5</v>
      </c>
    </row>
    <row r="20" spans="1:9" x14ac:dyDescent="0.3">
      <c r="A20" s="1">
        <v>10701</v>
      </c>
      <c r="B20" s="1">
        <v>1574</v>
      </c>
      <c r="C20" s="1">
        <v>1169</v>
      </c>
      <c r="D20" s="1">
        <v>542</v>
      </c>
      <c r="E20" s="1">
        <v>605</v>
      </c>
      <c r="F20" s="1">
        <v>435</v>
      </c>
      <c r="G20" s="1">
        <v>4325</v>
      </c>
      <c r="H20" s="3">
        <v>-0.5135992169380188</v>
      </c>
      <c r="I20" t="s">
        <v>2</v>
      </c>
    </row>
    <row r="21" spans="1:9" x14ac:dyDescent="0.3">
      <c r="A21" s="1">
        <v>10702</v>
      </c>
      <c r="B21" s="1">
        <v>5464</v>
      </c>
      <c r="C21" s="1">
        <v>1721</v>
      </c>
      <c r="D21" s="1">
        <v>557</v>
      </c>
      <c r="E21" s="1">
        <v>191</v>
      </c>
      <c r="F21" s="1">
        <v>75</v>
      </c>
      <c r="G21" s="1">
        <v>8008</v>
      </c>
      <c r="H21" s="3">
        <v>-1.3317558765411377</v>
      </c>
      <c r="I21" t="s">
        <v>3</v>
      </c>
    </row>
    <row r="22" spans="1:9" x14ac:dyDescent="0.3">
      <c r="A22" s="1">
        <v>10703</v>
      </c>
      <c r="B22" s="1">
        <v>1940</v>
      </c>
      <c r="C22" s="1">
        <v>553</v>
      </c>
      <c r="D22" s="1">
        <v>184</v>
      </c>
      <c r="E22" s="1">
        <v>75</v>
      </c>
      <c r="F22" s="1">
        <v>27</v>
      </c>
      <c r="G22" s="1">
        <v>2779</v>
      </c>
      <c r="H22" s="3">
        <v>-1.3768852949142456</v>
      </c>
      <c r="I22" t="s">
        <v>3</v>
      </c>
    </row>
    <row r="23" spans="1:9" x14ac:dyDescent="0.3">
      <c r="A23" s="1">
        <v>10704</v>
      </c>
      <c r="B23" s="1">
        <v>2288</v>
      </c>
      <c r="C23" s="1">
        <v>799</v>
      </c>
      <c r="D23" s="1">
        <v>190</v>
      </c>
      <c r="E23" s="1">
        <v>115</v>
      </c>
      <c r="F23" s="1">
        <v>83</v>
      </c>
      <c r="G23" s="1">
        <v>3475</v>
      </c>
      <c r="H23" s="3">
        <v>-1.2714309692382813</v>
      </c>
      <c r="I23" t="s">
        <v>3</v>
      </c>
    </row>
    <row r="24" spans="1:9" x14ac:dyDescent="0.3">
      <c r="A24" s="1">
        <v>10801</v>
      </c>
      <c r="B24" s="1">
        <v>1205</v>
      </c>
      <c r="C24" s="1">
        <v>1001</v>
      </c>
      <c r="D24" s="1">
        <v>482</v>
      </c>
      <c r="E24" s="1">
        <v>323</v>
      </c>
      <c r="F24" s="1">
        <v>185</v>
      </c>
      <c r="G24" s="1">
        <v>3196</v>
      </c>
      <c r="H24" s="3">
        <v>-0.56145435571670532</v>
      </c>
      <c r="I24" t="s">
        <v>2</v>
      </c>
    </row>
    <row r="25" spans="1:9" x14ac:dyDescent="0.3">
      <c r="A25" s="1">
        <v>10901</v>
      </c>
      <c r="B25" s="1">
        <v>551</v>
      </c>
      <c r="C25" s="1">
        <v>203</v>
      </c>
      <c r="D25" s="1">
        <v>71</v>
      </c>
      <c r="E25" s="1">
        <v>86</v>
      </c>
      <c r="F25" s="1">
        <v>54</v>
      </c>
      <c r="G25" s="1">
        <v>965</v>
      </c>
      <c r="H25" s="3">
        <v>-1.0081242322921753</v>
      </c>
      <c r="I25" t="s">
        <v>4</v>
      </c>
    </row>
    <row r="26" spans="1:9" x14ac:dyDescent="0.3">
      <c r="A26" s="1">
        <v>10902</v>
      </c>
      <c r="B26" s="1">
        <v>2673</v>
      </c>
      <c r="C26" s="1">
        <v>1033</v>
      </c>
      <c r="D26" s="1">
        <v>363</v>
      </c>
      <c r="E26" s="1">
        <v>199</v>
      </c>
      <c r="F26" s="1">
        <v>79</v>
      </c>
      <c r="G26" s="1">
        <v>4347</v>
      </c>
      <c r="H26" s="3">
        <v>-1.1764259338378906</v>
      </c>
      <c r="I26" t="s">
        <v>4</v>
      </c>
    </row>
    <row r="27" spans="1:9" x14ac:dyDescent="0.3">
      <c r="A27" s="1">
        <v>10903</v>
      </c>
      <c r="B27" s="1">
        <v>513</v>
      </c>
      <c r="C27" s="1">
        <v>406</v>
      </c>
      <c r="D27" s="1">
        <v>102</v>
      </c>
      <c r="E27" s="1">
        <v>35</v>
      </c>
      <c r="F27" s="1">
        <v>6</v>
      </c>
      <c r="G27" s="1">
        <v>1062</v>
      </c>
      <c r="H27" s="3">
        <v>-0.96653270721435547</v>
      </c>
      <c r="I27" t="s">
        <v>4</v>
      </c>
    </row>
    <row r="28" spans="1:9" x14ac:dyDescent="0.3">
      <c r="A28" s="1">
        <v>11001</v>
      </c>
      <c r="B28" s="1">
        <v>962</v>
      </c>
      <c r="C28" s="1">
        <v>670</v>
      </c>
      <c r="D28" s="1">
        <v>405</v>
      </c>
      <c r="E28" s="1">
        <v>333</v>
      </c>
      <c r="F28" s="1">
        <v>162</v>
      </c>
      <c r="G28" s="1">
        <v>2532</v>
      </c>
      <c r="H28" s="3">
        <v>-0.5217936635017395</v>
      </c>
      <c r="I28" t="s">
        <v>2</v>
      </c>
    </row>
    <row r="29" spans="1:9" x14ac:dyDescent="0.3">
      <c r="A29" s="1">
        <v>11002</v>
      </c>
      <c r="B29" s="1">
        <v>374</v>
      </c>
      <c r="C29" s="1">
        <v>199</v>
      </c>
      <c r="D29" s="1">
        <v>26</v>
      </c>
      <c r="E29" s="1">
        <v>4</v>
      </c>
      <c r="F29" s="1">
        <v>0</v>
      </c>
      <c r="G29" s="1">
        <v>603</v>
      </c>
      <c r="H29" s="3">
        <v>-1.1326408386230469</v>
      </c>
      <c r="I29" t="s">
        <v>4</v>
      </c>
    </row>
    <row r="30" spans="1:9" x14ac:dyDescent="0.3">
      <c r="A30" s="1">
        <v>11003</v>
      </c>
      <c r="B30" s="1">
        <v>857</v>
      </c>
      <c r="C30" s="1">
        <v>510</v>
      </c>
      <c r="D30" s="1">
        <v>219</v>
      </c>
      <c r="E30" s="1">
        <v>126</v>
      </c>
      <c r="F30" s="1">
        <v>39</v>
      </c>
      <c r="G30" s="1">
        <v>1751</v>
      </c>
      <c r="H30" s="3">
        <v>-0.81844902038574219</v>
      </c>
      <c r="I30" t="s">
        <v>5</v>
      </c>
    </row>
    <row r="31" spans="1:9" x14ac:dyDescent="0.3">
      <c r="A31" s="1">
        <v>20101</v>
      </c>
      <c r="B31" s="1">
        <v>2081</v>
      </c>
      <c r="C31" s="1">
        <v>11497</v>
      </c>
      <c r="D31" s="1">
        <v>42354</v>
      </c>
      <c r="E31" s="1">
        <v>64590</v>
      </c>
      <c r="F31" s="1">
        <v>105936</v>
      </c>
      <c r="G31" s="1">
        <v>226458</v>
      </c>
      <c r="H31" s="3">
        <v>0.74812167882919312</v>
      </c>
      <c r="I31" t="s">
        <v>1</v>
      </c>
    </row>
    <row r="32" spans="1:9" x14ac:dyDescent="0.3">
      <c r="A32" s="1">
        <v>20102</v>
      </c>
      <c r="B32" s="1">
        <v>1628</v>
      </c>
      <c r="C32" s="1">
        <v>2535</v>
      </c>
      <c r="D32" s="1">
        <v>574</v>
      </c>
      <c r="E32" s="1">
        <v>103</v>
      </c>
      <c r="F32" s="1">
        <v>13</v>
      </c>
      <c r="G32" s="1">
        <v>4853</v>
      </c>
      <c r="H32" s="3">
        <v>-0.75017654895782471</v>
      </c>
      <c r="I32" t="s">
        <v>5</v>
      </c>
    </row>
    <row r="33" spans="1:9" x14ac:dyDescent="0.3">
      <c r="A33" s="1">
        <v>20103</v>
      </c>
      <c r="B33" s="1">
        <v>1159</v>
      </c>
      <c r="C33" s="1">
        <v>1408</v>
      </c>
      <c r="D33" s="1">
        <v>1036</v>
      </c>
      <c r="E33" s="1">
        <v>831</v>
      </c>
      <c r="F33" s="1">
        <v>404</v>
      </c>
      <c r="G33" s="1">
        <v>4838</v>
      </c>
      <c r="H33" s="3">
        <v>-0.23978488147258759</v>
      </c>
      <c r="I33" t="s">
        <v>2</v>
      </c>
    </row>
    <row r="34" spans="1:9" x14ac:dyDescent="0.3">
      <c r="A34" s="1">
        <v>20104</v>
      </c>
      <c r="B34" s="1">
        <v>895</v>
      </c>
      <c r="C34" s="1">
        <v>3519</v>
      </c>
      <c r="D34" s="1">
        <v>1903</v>
      </c>
      <c r="E34" s="1">
        <v>594</v>
      </c>
      <c r="F34" s="1">
        <v>174</v>
      </c>
      <c r="G34" s="1">
        <v>7085</v>
      </c>
      <c r="H34" s="3">
        <v>-0.23655490577220917</v>
      </c>
      <c r="I34" t="s">
        <v>2</v>
      </c>
    </row>
    <row r="35" spans="1:9" x14ac:dyDescent="0.3">
      <c r="A35" s="1">
        <v>20105</v>
      </c>
      <c r="B35" s="1">
        <v>5601</v>
      </c>
      <c r="C35" s="1">
        <v>46930</v>
      </c>
      <c r="D35" s="1">
        <v>84628</v>
      </c>
      <c r="E35" s="1">
        <v>71311</v>
      </c>
      <c r="F35" s="1">
        <v>48382</v>
      </c>
      <c r="G35" s="1">
        <v>256852</v>
      </c>
      <c r="H35" s="3">
        <v>0.41193550825119019</v>
      </c>
      <c r="I35" t="s">
        <v>1</v>
      </c>
    </row>
    <row r="36" spans="1:9" x14ac:dyDescent="0.3">
      <c r="A36" s="1">
        <v>20201</v>
      </c>
      <c r="B36" s="1">
        <v>4969</v>
      </c>
      <c r="C36" s="1">
        <v>7913</v>
      </c>
      <c r="D36" s="1">
        <v>2248</v>
      </c>
      <c r="E36" s="1">
        <v>701</v>
      </c>
      <c r="F36" s="1">
        <v>397</v>
      </c>
      <c r="G36" s="1">
        <v>16228</v>
      </c>
      <c r="H36" s="3">
        <v>-0.61574709415435791</v>
      </c>
      <c r="I36" t="s">
        <v>2</v>
      </c>
    </row>
    <row r="37" spans="1:9" x14ac:dyDescent="0.3">
      <c r="A37" s="1">
        <v>20202</v>
      </c>
      <c r="B37" s="1">
        <v>2925</v>
      </c>
      <c r="C37" s="1">
        <v>1950</v>
      </c>
      <c r="D37" s="1">
        <v>138</v>
      </c>
      <c r="E37" s="1">
        <v>13</v>
      </c>
      <c r="F37" s="1">
        <v>1</v>
      </c>
      <c r="G37" s="1">
        <v>5027</v>
      </c>
      <c r="H37" s="3">
        <v>-1.1207511425018311</v>
      </c>
      <c r="I37" t="s">
        <v>4</v>
      </c>
    </row>
    <row r="38" spans="1:9" x14ac:dyDescent="0.3">
      <c r="A38" s="1">
        <v>20203</v>
      </c>
      <c r="B38" s="1">
        <v>637</v>
      </c>
      <c r="C38" s="1">
        <v>1037</v>
      </c>
      <c r="D38" s="1">
        <v>280</v>
      </c>
      <c r="E38" s="1">
        <v>69</v>
      </c>
      <c r="F38" s="1">
        <v>9</v>
      </c>
      <c r="G38" s="1">
        <v>2032</v>
      </c>
      <c r="H38" s="3">
        <v>-0.65429776906967163</v>
      </c>
      <c r="I38" t="s">
        <v>2</v>
      </c>
    </row>
    <row r="39" spans="1:9" x14ac:dyDescent="0.3">
      <c r="A39" s="1">
        <v>20204</v>
      </c>
      <c r="B39" s="1">
        <v>1427</v>
      </c>
      <c r="C39" s="1">
        <v>1560</v>
      </c>
      <c r="D39" s="1">
        <v>260</v>
      </c>
      <c r="E39" s="1">
        <v>42</v>
      </c>
      <c r="F39" s="1">
        <v>8</v>
      </c>
      <c r="G39" s="1">
        <v>3297</v>
      </c>
      <c r="H39" s="3">
        <v>-0.88657647371292114</v>
      </c>
      <c r="I39" t="s">
        <v>5</v>
      </c>
    </row>
    <row r="40" spans="1:9" x14ac:dyDescent="0.3">
      <c r="A40" s="1">
        <v>20205</v>
      </c>
      <c r="B40" s="1">
        <v>1808</v>
      </c>
      <c r="C40" s="1">
        <v>1712</v>
      </c>
      <c r="D40" s="1">
        <v>229</v>
      </c>
      <c r="E40" s="1">
        <v>37</v>
      </c>
      <c r="F40" s="1">
        <v>11</v>
      </c>
      <c r="G40" s="1">
        <v>3797</v>
      </c>
      <c r="H40" s="3">
        <v>-0.96329396963119507</v>
      </c>
      <c r="I40" t="s">
        <v>4</v>
      </c>
    </row>
    <row r="41" spans="1:9" x14ac:dyDescent="0.3">
      <c r="A41" s="1">
        <v>20206</v>
      </c>
      <c r="B41" s="1">
        <v>187</v>
      </c>
      <c r="C41" s="1">
        <v>893</v>
      </c>
      <c r="D41" s="1">
        <v>421</v>
      </c>
      <c r="E41" s="1">
        <v>147</v>
      </c>
      <c r="F41" s="1">
        <v>14</v>
      </c>
      <c r="G41" s="1">
        <v>1662</v>
      </c>
      <c r="H41" s="3">
        <v>-0.24490571022033691</v>
      </c>
      <c r="I41" t="s">
        <v>2</v>
      </c>
    </row>
    <row r="42" spans="1:9" x14ac:dyDescent="0.3">
      <c r="A42" s="1">
        <v>20301</v>
      </c>
      <c r="B42" s="1">
        <v>2381</v>
      </c>
      <c r="C42" s="1">
        <v>876</v>
      </c>
      <c r="D42" s="1">
        <v>358</v>
      </c>
      <c r="E42" s="1">
        <v>91</v>
      </c>
      <c r="F42" s="1">
        <v>34</v>
      </c>
      <c r="G42" s="1">
        <v>3740</v>
      </c>
      <c r="H42" s="3">
        <v>-1.1445028781890869</v>
      </c>
      <c r="I42" t="s">
        <v>4</v>
      </c>
    </row>
    <row r="43" spans="1:9" x14ac:dyDescent="0.3">
      <c r="A43" s="1">
        <v>20302</v>
      </c>
      <c r="B43" s="1">
        <v>3335</v>
      </c>
      <c r="C43" s="1">
        <v>794</v>
      </c>
      <c r="D43" s="1">
        <v>122</v>
      </c>
      <c r="E43" s="1">
        <v>16</v>
      </c>
      <c r="F43" s="1">
        <v>2</v>
      </c>
      <c r="G43" s="1">
        <v>4269</v>
      </c>
      <c r="H43" s="3">
        <v>-1.4168844223022461</v>
      </c>
      <c r="I43" t="s">
        <v>3</v>
      </c>
    </row>
    <row r="44" spans="1:9" x14ac:dyDescent="0.3">
      <c r="A44" s="1">
        <v>20303</v>
      </c>
      <c r="B44" s="1">
        <v>3192</v>
      </c>
      <c r="C44" s="1">
        <v>299</v>
      </c>
      <c r="D44" s="1">
        <v>39</v>
      </c>
      <c r="E44" s="1">
        <v>3</v>
      </c>
      <c r="F44" s="1">
        <v>0</v>
      </c>
      <c r="G44" s="1">
        <v>3533</v>
      </c>
      <c r="H44" s="3">
        <v>-1.6839238405227661</v>
      </c>
      <c r="I44" t="s">
        <v>3</v>
      </c>
    </row>
    <row r="45" spans="1:9" x14ac:dyDescent="0.3">
      <c r="A45" s="1">
        <v>20304</v>
      </c>
      <c r="B45" s="1">
        <v>957</v>
      </c>
      <c r="C45" s="1">
        <v>309</v>
      </c>
      <c r="D45" s="1">
        <v>41</v>
      </c>
      <c r="E45" s="1">
        <v>4</v>
      </c>
      <c r="F45" s="1">
        <v>0</v>
      </c>
      <c r="G45" s="1">
        <v>1311</v>
      </c>
      <c r="H45" s="3">
        <v>-1.3364949226379395</v>
      </c>
      <c r="I45" t="s">
        <v>3</v>
      </c>
    </row>
    <row r="46" spans="1:9" x14ac:dyDescent="0.3">
      <c r="A46" s="1">
        <v>20305</v>
      </c>
      <c r="B46" s="1">
        <v>808</v>
      </c>
      <c r="C46" s="1">
        <v>220</v>
      </c>
      <c r="D46" s="1">
        <v>117</v>
      </c>
      <c r="E46" s="1">
        <v>12</v>
      </c>
      <c r="F46" s="1">
        <v>2</v>
      </c>
      <c r="G46" s="1">
        <v>1159</v>
      </c>
      <c r="H46" s="3">
        <v>-1.3064689636230469</v>
      </c>
      <c r="I46" t="s">
        <v>3</v>
      </c>
    </row>
    <row r="47" spans="1:9" x14ac:dyDescent="0.3">
      <c r="A47" s="1">
        <v>20306</v>
      </c>
      <c r="B47" s="1">
        <v>676</v>
      </c>
      <c r="C47" s="1">
        <v>370</v>
      </c>
      <c r="D47" s="1">
        <v>23</v>
      </c>
      <c r="E47" s="1">
        <v>1</v>
      </c>
      <c r="F47" s="1">
        <v>0</v>
      </c>
      <c r="G47" s="1">
        <v>1070</v>
      </c>
      <c r="H47" s="3">
        <v>-1.2227994203567505</v>
      </c>
      <c r="I47" t="s">
        <v>4</v>
      </c>
    </row>
    <row r="48" spans="1:9" x14ac:dyDescent="0.3">
      <c r="A48" s="1">
        <v>20307</v>
      </c>
      <c r="B48" s="1">
        <v>195</v>
      </c>
      <c r="C48" s="1">
        <v>87</v>
      </c>
      <c r="D48" s="1">
        <v>7</v>
      </c>
      <c r="E48" s="1">
        <v>0</v>
      </c>
      <c r="F48" s="1">
        <v>0</v>
      </c>
      <c r="G48" s="1">
        <v>289</v>
      </c>
      <c r="H48" s="3">
        <v>-1.2345821857452393</v>
      </c>
      <c r="I48" t="s">
        <v>4</v>
      </c>
    </row>
    <row r="49" spans="1:9" x14ac:dyDescent="0.3">
      <c r="A49" s="1">
        <v>20308</v>
      </c>
      <c r="B49" s="1">
        <v>2609</v>
      </c>
      <c r="C49" s="1">
        <v>171</v>
      </c>
      <c r="D49" s="1">
        <v>9</v>
      </c>
      <c r="E49" s="1">
        <v>1</v>
      </c>
      <c r="F49" s="1">
        <v>0</v>
      </c>
      <c r="G49" s="1">
        <v>2790</v>
      </c>
      <c r="H49" s="3">
        <v>-1.7384079694747925</v>
      </c>
      <c r="I49" t="s">
        <v>3</v>
      </c>
    </row>
    <row r="50" spans="1:9" x14ac:dyDescent="0.3">
      <c r="A50" s="1">
        <v>20401</v>
      </c>
      <c r="B50" s="1">
        <v>3132</v>
      </c>
      <c r="C50" s="1">
        <v>1578</v>
      </c>
      <c r="D50" s="1">
        <v>225</v>
      </c>
      <c r="E50" s="1">
        <v>64</v>
      </c>
      <c r="F50" s="1">
        <v>12</v>
      </c>
      <c r="G50" s="1">
        <v>5011</v>
      </c>
      <c r="H50" s="3">
        <v>-1.1556655168533325</v>
      </c>
      <c r="I50" t="s">
        <v>4</v>
      </c>
    </row>
    <row r="51" spans="1:9" x14ac:dyDescent="0.3">
      <c r="A51" s="1">
        <v>20402</v>
      </c>
      <c r="B51" s="1">
        <v>4346</v>
      </c>
      <c r="C51" s="1">
        <v>2099</v>
      </c>
      <c r="D51" s="1">
        <v>133</v>
      </c>
      <c r="E51" s="1">
        <v>25</v>
      </c>
      <c r="F51" s="1">
        <v>3</v>
      </c>
      <c r="G51" s="1">
        <v>6606</v>
      </c>
      <c r="H51" s="3">
        <v>-1.2002754211425781</v>
      </c>
      <c r="I51" t="s">
        <v>4</v>
      </c>
    </row>
    <row r="52" spans="1:9" x14ac:dyDescent="0.3">
      <c r="A52" s="1">
        <v>20403</v>
      </c>
      <c r="B52" s="1">
        <v>3136</v>
      </c>
      <c r="C52" s="1">
        <v>1889</v>
      </c>
      <c r="D52" s="1">
        <v>237</v>
      </c>
      <c r="E52" s="1">
        <v>63</v>
      </c>
      <c r="F52" s="1">
        <v>22</v>
      </c>
      <c r="G52" s="1">
        <v>5347</v>
      </c>
      <c r="H52" s="3">
        <v>-1.0938699245452881</v>
      </c>
      <c r="I52" t="s">
        <v>4</v>
      </c>
    </row>
    <row r="53" spans="1:9" x14ac:dyDescent="0.3">
      <c r="A53" s="1">
        <v>20404</v>
      </c>
      <c r="B53" s="1">
        <v>1644</v>
      </c>
      <c r="C53" s="1">
        <v>449</v>
      </c>
      <c r="D53" s="1">
        <v>14</v>
      </c>
      <c r="E53" s="1">
        <v>1</v>
      </c>
      <c r="F53" s="1">
        <v>0</v>
      </c>
      <c r="G53" s="1">
        <v>2108</v>
      </c>
      <c r="H53" s="3">
        <v>-1.3597019910812378</v>
      </c>
      <c r="I53" t="s">
        <v>3</v>
      </c>
    </row>
    <row r="54" spans="1:9" x14ac:dyDescent="0.3">
      <c r="A54" s="1">
        <v>20405</v>
      </c>
      <c r="B54" s="1">
        <v>1627</v>
      </c>
      <c r="C54" s="1">
        <v>1169</v>
      </c>
      <c r="D54" s="1">
        <v>163</v>
      </c>
      <c r="E54" s="1">
        <v>58</v>
      </c>
      <c r="F54" s="1">
        <v>10</v>
      </c>
      <c r="G54" s="1">
        <v>3027</v>
      </c>
      <c r="H54" s="3">
        <v>-1.0308215618133545</v>
      </c>
      <c r="I54" t="s">
        <v>4</v>
      </c>
    </row>
    <row r="55" spans="1:9" x14ac:dyDescent="0.3">
      <c r="A55" s="1">
        <v>20501</v>
      </c>
      <c r="B55" s="1">
        <v>2119</v>
      </c>
      <c r="C55" s="1">
        <v>1678</v>
      </c>
      <c r="D55" s="1">
        <v>118</v>
      </c>
      <c r="E55" s="1">
        <v>22</v>
      </c>
      <c r="F55" s="1">
        <v>1</v>
      </c>
      <c r="G55" s="1">
        <v>3938</v>
      </c>
      <c r="H55" s="3">
        <v>-1.0713349580764771</v>
      </c>
      <c r="I55" t="s">
        <v>4</v>
      </c>
    </row>
    <row r="56" spans="1:9" x14ac:dyDescent="0.3">
      <c r="A56" s="1">
        <v>20502</v>
      </c>
      <c r="B56" s="1">
        <v>1846</v>
      </c>
      <c r="C56" s="1">
        <v>859</v>
      </c>
      <c r="D56" s="1">
        <v>40</v>
      </c>
      <c r="E56" s="1">
        <v>2</v>
      </c>
      <c r="F56" s="1">
        <v>0</v>
      </c>
      <c r="G56" s="1">
        <v>2747</v>
      </c>
      <c r="H56" s="3">
        <v>-1.2648880481719971</v>
      </c>
      <c r="I56" t="s">
        <v>4</v>
      </c>
    </row>
    <row r="57" spans="1:9" x14ac:dyDescent="0.3">
      <c r="A57" s="1">
        <v>20503</v>
      </c>
      <c r="B57" s="1">
        <v>1049</v>
      </c>
      <c r="C57" s="1">
        <v>803</v>
      </c>
      <c r="D57" s="1">
        <v>70</v>
      </c>
      <c r="E57" s="1">
        <v>14</v>
      </c>
      <c r="F57" s="1">
        <v>2</v>
      </c>
      <c r="G57" s="1">
        <v>1938</v>
      </c>
      <c r="H57" s="3">
        <v>-1.0545367002487183</v>
      </c>
      <c r="I57" t="s">
        <v>4</v>
      </c>
    </row>
    <row r="58" spans="1:9" x14ac:dyDescent="0.3">
      <c r="A58" s="1">
        <v>20601</v>
      </c>
      <c r="B58" s="1">
        <v>4167</v>
      </c>
      <c r="C58" s="1">
        <v>3441</v>
      </c>
      <c r="D58" s="1">
        <v>760</v>
      </c>
      <c r="E58" s="1">
        <v>318</v>
      </c>
      <c r="F58" s="1">
        <v>89</v>
      </c>
      <c r="G58" s="1">
        <v>8775</v>
      </c>
      <c r="H58" s="3">
        <v>-0.90900087356567383</v>
      </c>
      <c r="I58" t="s">
        <v>5</v>
      </c>
    </row>
    <row r="59" spans="1:9" x14ac:dyDescent="0.3">
      <c r="A59" s="1">
        <v>20602</v>
      </c>
      <c r="B59" s="1">
        <v>1903</v>
      </c>
      <c r="C59" s="1">
        <v>1305</v>
      </c>
      <c r="D59" s="1">
        <v>797</v>
      </c>
      <c r="E59" s="1">
        <v>480</v>
      </c>
      <c r="F59" s="1">
        <v>196</v>
      </c>
      <c r="G59" s="1">
        <v>4681</v>
      </c>
      <c r="H59" s="3">
        <v>-0.67932957410812378</v>
      </c>
      <c r="I59" t="s">
        <v>2</v>
      </c>
    </row>
    <row r="60" spans="1:9" x14ac:dyDescent="0.3">
      <c r="A60" s="1">
        <v>20603</v>
      </c>
      <c r="B60" s="1">
        <v>1542</v>
      </c>
      <c r="C60" s="1">
        <v>1215</v>
      </c>
      <c r="D60" s="1">
        <v>180</v>
      </c>
      <c r="E60" s="1">
        <v>33</v>
      </c>
      <c r="F60" s="1">
        <v>10</v>
      </c>
      <c r="G60" s="1">
        <v>2980</v>
      </c>
      <c r="H60" s="3">
        <v>-1.0495420694351196</v>
      </c>
      <c r="I60" t="s">
        <v>4</v>
      </c>
    </row>
    <row r="61" spans="1:9" x14ac:dyDescent="0.3">
      <c r="A61" s="1">
        <v>20604</v>
      </c>
      <c r="B61" s="1">
        <v>584</v>
      </c>
      <c r="C61" s="1">
        <v>393</v>
      </c>
      <c r="D61" s="1">
        <v>37</v>
      </c>
      <c r="E61" s="1">
        <v>11</v>
      </c>
      <c r="F61" s="1">
        <v>2</v>
      </c>
      <c r="G61" s="1">
        <v>1027</v>
      </c>
      <c r="H61" s="3">
        <v>-1.0990605354309082</v>
      </c>
      <c r="I61" t="s">
        <v>4</v>
      </c>
    </row>
    <row r="62" spans="1:9" x14ac:dyDescent="0.3">
      <c r="A62" s="1">
        <v>20605</v>
      </c>
      <c r="B62" s="1">
        <v>360</v>
      </c>
      <c r="C62" s="1">
        <v>589</v>
      </c>
      <c r="D62" s="1">
        <v>38</v>
      </c>
      <c r="E62" s="1">
        <v>7</v>
      </c>
      <c r="F62" s="1">
        <v>0</v>
      </c>
      <c r="G62" s="1">
        <v>994</v>
      </c>
      <c r="H62" s="3">
        <v>-0.91869169473648071</v>
      </c>
      <c r="I62" t="s">
        <v>5</v>
      </c>
    </row>
    <row r="63" spans="1:9" x14ac:dyDescent="0.3">
      <c r="A63" s="1">
        <v>20606</v>
      </c>
      <c r="B63" s="1">
        <v>401</v>
      </c>
      <c r="C63" s="1">
        <v>1313</v>
      </c>
      <c r="D63" s="1">
        <v>1194</v>
      </c>
      <c r="E63" s="1">
        <v>452</v>
      </c>
      <c r="F63" s="1">
        <v>97</v>
      </c>
      <c r="G63" s="1">
        <v>3457</v>
      </c>
      <c r="H63" s="3">
        <v>-0.11115258187055588</v>
      </c>
      <c r="I63" t="s">
        <v>1</v>
      </c>
    </row>
    <row r="64" spans="1:9" x14ac:dyDescent="0.3">
      <c r="A64" s="1">
        <v>20607</v>
      </c>
      <c r="B64" s="1">
        <v>601</v>
      </c>
      <c r="C64" s="1">
        <v>2138</v>
      </c>
      <c r="D64" s="1">
        <v>1013</v>
      </c>
      <c r="E64" s="1">
        <v>265</v>
      </c>
      <c r="F64" s="1">
        <v>33</v>
      </c>
      <c r="G64" s="1">
        <v>4050</v>
      </c>
      <c r="H64" s="3">
        <v>-0.31640896201133728</v>
      </c>
      <c r="I64" t="s">
        <v>2</v>
      </c>
    </row>
    <row r="65" spans="1:9" x14ac:dyDescent="0.3">
      <c r="A65" s="1">
        <v>20608</v>
      </c>
      <c r="B65" s="1">
        <v>2153</v>
      </c>
      <c r="C65" s="1">
        <v>902</v>
      </c>
      <c r="D65" s="1">
        <v>357</v>
      </c>
      <c r="E65" s="1">
        <v>62</v>
      </c>
      <c r="F65" s="1">
        <v>13</v>
      </c>
      <c r="G65" s="1">
        <v>3487</v>
      </c>
      <c r="H65" s="3">
        <v>-1.1785492897033691</v>
      </c>
      <c r="I65" t="s">
        <v>4</v>
      </c>
    </row>
    <row r="66" spans="1:9" x14ac:dyDescent="0.3">
      <c r="A66" s="1">
        <v>20701</v>
      </c>
      <c r="B66" s="1">
        <v>2047</v>
      </c>
      <c r="C66" s="1">
        <v>1670</v>
      </c>
      <c r="D66" s="1">
        <v>640</v>
      </c>
      <c r="E66" s="1">
        <v>210</v>
      </c>
      <c r="F66" s="1">
        <v>58</v>
      </c>
      <c r="G66" s="1">
        <v>4625</v>
      </c>
      <c r="H66" s="3">
        <v>-0.84117943048477173</v>
      </c>
      <c r="I66" t="s">
        <v>5</v>
      </c>
    </row>
    <row r="67" spans="1:9" x14ac:dyDescent="0.3">
      <c r="A67" s="1">
        <v>20702</v>
      </c>
      <c r="B67" s="1">
        <v>1250</v>
      </c>
      <c r="C67" s="1">
        <v>771</v>
      </c>
      <c r="D67" s="1">
        <v>183</v>
      </c>
      <c r="E67" s="1">
        <v>20</v>
      </c>
      <c r="F67" s="1">
        <v>6</v>
      </c>
      <c r="G67" s="1">
        <v>2230</v>
      </c>
      <c r="H67" s="3">
        <v>-1.124833345413208</v>
      </c>
      <c r="I67" t="s">
        <v>4</v>
      </c>
    </row>
    <row r="68" spans="1:9" x14ac:dyDescent="0.3">
      <c r="A68" s="1">
        <v>20801</v>
      </c>
      <c r="B68" s="1">
        <v>4001</v>
      </c>
      <c r="C68" s="1">
        <v>9410</v>
      </c>
      <c r="D68" s="1">
        <v>6726</v>
      </c>
      <c r="E68" s="1">
        <v>4167</v>
      </c>
      <c r="F68" s="1">
        <v>1944</v>
      </c>
      <c r="G68" s="1">
        <v>26248</v>
      </c>
      <c r="H68" s="3">
        <v>-0.13138346374034882</v>
      </c>
      <c r="I68" t="s">
        <v>1</v>
      </c>
    </row>
    <row r="69" spans="1:9" x14ac:dyDescent="0.3">
      <c r="A69" s="1">
        <v>20802</v>
      </c>
      <c r="B69" s="1">
        <v>779</v>
      </c>
      <c r="C69" s="1">
        <v>1441</v>
      </c>
      <c r="D69" s="1">
        <v>433</v>
      </c>
      <c r="E69" s="1">
        <v>76</v>
      </c>
      <c r="F69" s="1">
        <v>2</v>
      </c>
      <c r="G69" s="1">
        <v>2731</v>
      </c>
      <c r="H69" s="3">
        <v>-0.62123477458953857</v>
      </c>
      <c r="I69" t="s">
        <v>2</v>
      </c>
    </row>
    <row r="70" spans="1:9" x14ac:dyDescent="0.3">
      <c r="A70" s="1">
        <v>20803</v>
      </c>
      <c r="B70" s="1">
        <v>1448</v>
      </c>
      <c r="C70" s="1">
        <v>1814</v>
      </c>
      <c r="D70" s="1">
        <v>255</v>
      </c>
      <c r="E70" s="1">
        <v>65</v>
      </c>
      <c r="F70" s="1">
        <v>12</v>
      </c>
      <c r="G70" s="1">
        <v>3594</v>
      </c>
      <c r="H70" s="3">
        <v>-0.85870373249053955</v>
      </c>
      <c r="I70" t="s">
        <v>5</v>
      </c>
    </row>
    <row r="71" spans="1:9" x14ac:dyDescent="0.3">
      <c r="A71" s="1">
        <v>20804</v>
      </c>
      <c r="B71" s="1">
        <v>330</v>
      </c>
      <c r="C71" s="1">
        <v>972</v>
      </c>
      <c r="D71" s="1">
        <v>406</v>
      </c>
      <c r="E71" s="1">
        <v>378</v>
      </c>
      <c r="F71" s="1">
        <v>164</v>
      </c>
      <c r="G71" s="1">
        <v>2250</v>
      </c>
      <c r="H71" s="3">
        <v>-0.17061206698417664</v>
      </c>
      <c r="I71" t="s">
        <v>1</v>
      </c>
    </row>
    <row r="72" spans="1:9" x14ac:dyDescent="0.3">
      <c r="A72" s="1">
        <v>20805</v>
      </c>
      <c r="B72" s="1">
        <v>2012</v>
      </c>
      <c r="C72" s="1">
        <v>357</v>
      </c>
      <c r="D72" s="1">
        <v>20</v>
      </c>
      <c r="E72" s="1">
        <v>2</v>
      </c>
      <c r="F72" s="1">
        <v>0</v>
      </c>
      <c r="G72" s="1">
        <v>2391</v>
      </c>
      <c r="H72" s="3">
        <v>-1.4996187686920166</v>
      </c>
      <c r="I72" t="s">
        <v>3</v>
      </c>
    </row>
    <row r="73" spans="1:9" x14ac:dyDescent="0.3">
      <c r="A73" s="1">
        <v>20806</v>
      </c>
      <c r="B73" s="1">
        <v>3387</v>
      </c>
      <c r="C73" s="1">
        <v>1393</v>
      </c>
      <c r="D73" s="1">
        <v>172</v>
      </c>
      <c r="E73" s="1">
        <v>12</v>
      </c>
      <c r="F73" s="1">
        <v>3</v>
      </c>
      <c r="G73" s="1">
        <v>4967</v>
      </c>
      <c r="H73" s="3">
        <v>-1.2694544792175293</v>
      </c>
      <c r="I73" t="s">
        <v>4</v>
      </c>
    </row>
    <row r="74" spans="1:9" x14ac:dyDescent="0.3">
      <c r="A74" s="1">
        <v>20807</v>
      </c>
      <c r="B74" s="1">
        <v>481</v>
      </c>
      <c r="C74" s="1">
        <v>1232</v>
      </c>
      <c r="D74" s="1">
        <v>93</v>
      </c>
      <c r="E74" s="1">
        <v>12</v>
      </c>
      <c r="F74" s="1">
        <v>1</v>
      </c>
      <c r="G74" s="1">
        <v>1819</v>
      </c>
      <c r="H74" s="3">
        <v>-0.72257697582244873</v>
      </c>
      <c r="I74" t="s">
        <v>5</v>
      </c>
    </row>
    <row r="75" spans="1:9" x14ac:dyDescent="0.3">
      <c r="A75" s="1">
        <v>20901</v>
      </c>
      <c r="B75" s="1">
        <v>1452</v>
      </c>
      <c r="C75" s="1">
        <v>1942</v>
      </c>
      <c r="D75" s="1">
        <v>424</v>
      </c>
      <c r="E75" s="1">
        <v>89</v>
      </c>
      <c r="F75" s="1">
        <v>6</v>
      </c>
      <c r="G75" s="1">
        <v>3913</v>
      </c>
      <c r="H75" s="3">
        <v>-0.78951168060302734</v>
      </c>
      <c r="I75" t="s">
        <v>5</v>
      </c>
    </row>
    <row r="76" spans="1:9" x14ac:dyDescent="0.3">
      <c r="A76" s="1">
        <v>20902</v>
      </c>
      <c r="B76" s="1">
        <v>2709</v>
      </c>
      <c r="C76" s="1">
        <v>1733</v>
      </c>
      <c r="D76" s="1">
        <v>165</v>
      </c>
      <c r="E76" s="1">
        <v>15</v>
      </c>
      <c r="F76" s="1">
        <v>2</v>
      </c>
      <c r="G76" s="1">
        <v>4624</v>
      </c>
      <c r="H76" s="3">
        <v>-1.1379308700561523</v>
      </c>
      <c r="I76" t="s">
        <v>4</v>
      </c>
    </row>
    <row r="77" spans="1:9" x14ac:dyDescent="0.3">
      <c r="A77" s="1">
        <v>20903</v>
      </c>
      <c r="B77" s="1">
        <v>1183</v>
      </c>
      <c r="C77" s="1">
        <v>1015</v>
      </c>
      <c r="D77" s="1">
        <v>95</v>
      </c>
      <c r="E77" s="1">
        <v>10</v>
      </c>
      <c r="F77" s="1">
        <v>3</v>
      </c>
      <c r="G77" s="1">
        <v>2306</v>
      </c>
      <c r="H77" s="3">
        <v>-1.0536001920700073</v>
      </c>
      <c r="I77" t="s">
        <v>4</v>
      </c>
    </row>
    <row r="78" spans="1:9" x14ac:dyDescent="0.3">
      <c r="A78" s="1">
        <v>20904</v>
      </c>
      <c r="B78" s="1">
        <v>547</v>
      </c>
      <c r="C78" s="1">
        <v>588</v>
      </c>
      <c r="D78" s="1">
        <v>87</v>
      </c>
      <c r="E78" s="1">
        <v>10</v>
      </c>
      <c r="F78" s="1">
        <v>2</v>
      </c>
      <c r="G78" s="1">
        <v>1234</v>
      </c>
      <c r="H78" s="3">
        <v>-0.92020922899246216</v>
      </c>
      <c r="I78" t="s">
        <v>5</v>
      </c>
    </row>
    <row r="79" spans="1:9" x14ac:dyDescent="0.3">
      <c r="A79" s="1">
        <v>20905</v>
      </c>
      <c r="B79" s="1">
        <v>892</v>
      </c>
      <c r="C79" s="1">
        <v>1522</v>
      </c>
      <c r="D79" s="1">
        <v>528</v>
      </c>
      <c r="E79" s="1">
        <v>116</v>
      </c>
      <c r="F79" s="1">
        <v>12</v>
      </c>
      <c r="G79" s="1">
        <v>3070</v>
      </c>
      <c r="H79" s="3">
        <v>-0.63069742918014526</v>
      </c>
      <c r="I79" t="s">
        <v>2</v>
      </c>
    </row>
    <row r="80" spans="1:9" x14ac:dyDescent="0.3">
      <c r="A80" s="1">
        <v>21001</v>
      </c>
      <c r="B80" s="1">
        <v>3816</v>
      </c>
      <c r="C80" s="1">
        <v>886</v>
      </c>
      <c r="D80" s="1">
        <v>131</v>
      </c>
      <c r="E80" s="1">
        <v>46</v>
      </c>
      <c r="F80" s="1">
        <v>15</v>
      </c>
      <c r="G80" s="1">
        <v>4894</v>
      </c>
      <c r="H80" s="3">
        <v>-1.4512898921966553</v>
      </c>
      <c r="I80" t="s">
        <v>3</v>
      </c>
    </row>
    <row r="81" spans="1:9" x14ac:dyDescent="0.3">
      <c r="A81" s="1">
        <v>21002</v>
      </c>
      <c r="B81" s="1">
        <v>876</v>
      </c>
      <c r="C81" s="1">
        <v>1299</v>
      </c>
      <c r="D81" s="1">
        <v>890</v>
      </c>
      <c r="E81" s="1">
        <v>262</v>
      </c>
      <c r="F81" s="1">
        <v>60</v>
      </c>
      <c r="G81" s="1">
        <v>3387</v>
      </c>
      <c r="H81" s="3">
        <v>-0.41415813565254211</v>
      </c>
      <c r="I81" t="s">
        <v>2</v>
      </c>
    </row>
    <row r="82" spans="1:9" x14ac:dyDescent="0.3">
      <c r="A82" s="1">
        <v>21003</v>
      </c>
      <c r="B82" s="1">
        <v>579</v>
      </c>
      <c r="C82" s="1">
        <v>1508</v>
      </c>
      <c r="D82" s="1">
        <v>646</v>
      </c>
      <c r="E82" s="1">
        <v>240</v>
      </c>
      <c r="F82" s="1">
        <v>46</v>
      </c>
      <c r="G82" s="1">
        <v>3019</v>
      </c>
      <c r="H82" s="3">
        <v>-0.38669884204864502</v>
      </c>
      <c r="I82" t="s">
        <v>2</v>
      </c>
    </row>
    <row r="83" spans="1:9" x14ac:dyDescent="0.3">
      <c r="A83" s="1">
        <v>21004</v>
      </c>
      <c r="B83" s="1">
        <v>2760</v>
      </c>
      <c r="C83" s="1">
        <v>2005</v>
      </c>
      <c r="D83" s="1">
        <v>748</v>
      </c>
      <c r="E83" s="1">
        <v>252</v>
      </c>
      <c r="F83" s="1">
        <v>65</v>
      </c>
      <c r="G83" s="1">
        <v>5830</v>
      </c>
      <c r="H83" s="3">
        <v>-0.84306955337524414</v>
      </c>
      <c r="I83" t="s">
        <v>5</v>
      </c>
    </row>
    <row r="84" spans="1:9" x14ac:dyDescent="0.3">
      <c r="A84" s="1">
        <v>21005</v>
      </c>
      <c r="B84" s="1">
        <v>1195</v>
      </c>
      <c r="C84" s="1">
        <v>456</v>
      </c>
      <c r="D84" s="1">
        <v>35</v>
      </c>
      <c r="E84" s="1">
        <v>6</v>
      </c>
      <c r="F84" s="1">
        <v>3</v>
      </c>
      <c r="G84" s="1">
        <v>1695</v>
      </c>
      <c r="H84" s="3">
        <v>-1.361187219619751</v>
      </c>
      <c r="I84" t="s">
        <v>3</v>
      </c>
    </row>
    <row r="85" spans="1:9" x14ac:dyDescent="0.3">
      <c r="A85" s="1">
        <v>21006</v>
      </c>
      <c r="B85" s="1">
        <v>439</v>
      </c>
      <c r="C85" s="1">
        <v>356</v>
      </c>
      <c r="D85" s="1">
        <v>172</v>
      </c>
      <c r="E85" s="1">
        <v>39</v>
      </c>
      <c r="F85" s="1">
        <v>15</v>
      </c>
      <c r="G85" s="1">
        <v>1021</v>
      </c>
      <c r="H85" s="3">
        <v>-0.75032895803451538</v>
      </c>
      <c r="I85" t="s">
        <v>5</v>
      </c>
    </row>
    <row r="86" spans="1:9" x14ac:dyDescent="0.3">
      <c r="A86" s="1">
        <v>21101</v>
      </c>
      <c r="B86" s="1">
        <v>1151</v>
      </c>
      <c r="C86" s="1">
        <v>2547</v>
      </c>
      <c r="D86" s="1">
        <v>1502</v>
      </c>
      <c r="E86" s="1">
        <v>652</v>
      </c>
      <c r="F86" s="1">
        <v>227</v>
      </c>
      <c r="G86" s="1">
        <v>6079</v>
      </c>
      <c r="H86" s="3">
        <v>-0.28083482384681702</v>
      </c>
      <c r="I86" t="s">
        <v>2</v>
      </c>
    </row>
    <row r="87" spans="1:9" x14ac:dyDescent="0.3">
      <c r="A87" s="1">
        <v>21102</v>
      </c>
      <c r="B87" s="1">
        <v>2326</v>
      </c>
      <c r="C87" s="1">
        <v>2565</v>
      </c>
      <c r="D87" s="1">
        <v>1025</v>
      </c>
      <c r="E87" s="1">
        <v>447</v>
      </c>
      <c r="F87" s="1">
        <v>136</v>
      </c>
      <c r="G87" s="1">
        <v>6499</v>
      </c>
      <c r="H87" s="3">
        <v>-0.64732372760772705</v>
      </c>
      <c r="I87" t="s">
        <v>2</v>
      </c>
    </row>
    <row r="88" spans="1:9" x14ac:dyDescent="0.3">
      <c r="A88" s="1">
        <v>21103</v>
      </c>
      <c r="B88" s="1">
        <v>428</v>
      </c>
      <c r="C88" s="1">
        <v>818</v>
      </c>
      <c r="D88" s="1">
        <v>470</v>
      </c>
      <c r="E88" s="1">
        <v>316</v>
      </c>
      <c r="F88" s="1">
        <v>276</v>
      </c>
      <c r="G88" s="1">
        <v>2308</v>
      </c>
      <c r="H88" s="3">
        <v>-0.19117933511734009</v>
      </c>
      <c r="I88" t="s">
        <v>1</v>
      </c>
    </row>
    <row r="89" spans="1:9" x14ac:dyDescent="0.3">
      <c r="A89" s="1">
        <v>21104</v>
      </c>
      <c r="B89" s="1">
        <v>4707</v>
      </c>
      <c r="C89" s="1">
        <v>2882</v>
      </c>
      <c r="D89" s="1">
        <v>881</v>
      </c>
      <c r="E89" s="1">
        <v>544</v>
      </c>
      <c r="F89" s="1">
        <v>232</v>
      </c>
      <c r="G89" s="1">
        <v>9246</v>
      </c>
      <c r="H89" s="3">
        <v>-0.95576238632202148</v>
      </c>
      <c r="I89" t="s">
        <v>4</v>
      </c>
    </row>
    <row r="90" spans="1:9" x14ac:dyDescent="0.3">
      <c r="A90" s="1">
        <v>21105</v>
      </c>
      <c r="B90" s="1">
        <v>9607</v>
      </c>
      <c r="C90" s="1">
        <v>3172</v>
      </c>
      <c r="D90" s="1">
        <v>558</v>
      </c>
      <c r="E90" s="1">
        <v>213</v>
      </c>
      <c r="F90" s="1">
        <v>88</v>
      </c>
      <c r="G90" s="1">
        <v>13638</v>
      </c>
      <c r="H90" s="3">
        <v>-1.2984619140625</v>
      </c>
      <c r="I90" t="s">
        <v>3</v>
      </c>
    </row>
    <row r="91" spans="1:9" x14ac:dyDescent="0.3">
      <c r="A91" s="1">
        <v>21201</v>
      </c>
      <c r="B91" s="1">
        <v>4766</v>
      </c>
      <c r="C91" s="1">
        <v>4779</v>
      </c>
      <c r="D91" s="1">
        <v>765</v>
      </c>
      <c r="E91" s="1">
        <v>196</v>
      </c>
      <c r="F91" s="1">
        <v>55</v>
      </c>
      <c r="G91" s="1">
        <v>10561</v>
      </c>
      <c r="H91" s="3">
        <v>-0.91729378700256348</v>
      </c>
      <c r="I91" t="s">
        <v>5</v>
      </c>
    </row>
    <row r="92" spans="1:9" x14ac:dyDescent="0.3">
      <c r="A92" s="1">
        <v>21202</v>
      </c>
      <c r="B92" s="1">
        <v>3132</v>
      </c>
      <c r="C92" s="1">
        <v>3807</v>
      </c>
      <c r="D92" s="1">
        <v>715</v>
      </c>
      <c r="E92" s="1">
        <v>81</v>
      </c>
      <c r="F92" s="1">
        <v>26</v>
      </c>
      <c r="G92" s="1">
        <v>7761</v>
      </c>
      <c r="H92" s="3">
        <v>-0.84347546100616455</v>
      </c>
      <c r="I92" t="s">
        <v>5</v>
      </c>
    </row>
    <row r="93" spans="1:9" x14ac:dyDescent="0.3">
      <c r="A93" s="1">
        <v>21203</v>
      </c>
      <c r="B93" s="1">
        <v>2437</v>
      </c>
      <c r="C93" s="1">
        <v>2520</v>
      </c>
      <c r="D93" s="1">
        <v>738</v>
      </c>
      <c r="E93" s="1">
        <v>260</v>
      </c>
      <c r="F93" s="1">
        <v>107</v>
      </c>
      <c r="G93" s="1">
        <v>6062</v>
      </c>
      <c r="H93" s="3">
        <v>-0.75972867012023926</v>
      </c>
      <c r="I93" t="s">
        <v>5</v>
      </c>
    </row>
    <row r="94" spans="1:9" x14ac:dyDescent="0.3">
      <c r="A94" s="1">
        <v>21204</v>
      </c>
      <c r="B94" s="1">
        <v>1103</v>
      </c>
      <c r="C94" s="1">
        <v>1533</v>
      </c>
      <c r="D94" s="1">
        <v>225</v>
      </c>
      <c r="E94" s="1">
        <v>43</v>
      </c>
      <c r="F94" s="1">
        <v>4</v>
      </c>
      <c r="G94" s="1">
        <v>2908</v>
      </c>
      <c r="H94" s="3">
        <v>-0.83794647455215454</v>
      </c>
      <c r="I94" t="s">
        <v>5</v>
      </c>
    </row>
    <row r="95" spans="1:9" x14ac:dyDescent="0.3">
      <c r="A95" s="1">
        <v>21301</v>
      </c>
      <c r="B95" s="1">
        <v>4278</v>
      </c>
      <c r="C95" s="1">
        <v>3531</v>
      </c>
      <c r="D95" s="1">
        <v>1183</v>
      </c>
      <c r="E95" s="1">
        <v>324</v>
      </c>
      <c r="F95" s="1">
        <v>104</v>
      </c>
      <c r="G95" s="1">
        <v>9420</v>
      </c>
      <c r="H95" s="3">
        <v>-0.86381739377975464</v>
      </c>
      <c r="I95" t="s">
        <v>5</v>
      </c>
    </row>
    <row r="96" spans="1:9" x14ac:dyDescent="0.3">
      <c r="A96" s="1">
        <v>21302</v>
      </c>
      <c r="B96" s="1">
        <v>1797</v>
      </c>
      <c r="C96" s="1">
        <v>1180</v>
      </c>
      <c r="D96" s="1">
        <v>237</v>
      </c>
      <c r="E96" s="1">
        <v>32</v>
      </c>
      <c r="F96" s="1">
        <v>3</v>
      </c>
      <c r="G96" s="1">
        <v>3249</v>
      </c>
      <c r="H96" s="3">
        <v>-1.0729212760925293</v>
      </c>
      <c r="I96" t="s">
        <v>4</v>
      </c>
    </row>
    <row r="97" spans="1:9" x14ac:dyDescent="0.3">
      <c r="A97" s="1">
        <v>21303</v>
      </c>
      <c r="B97" s="1">
        <v>1655</v>
      </c>
      <c r="C97" s="1">
        <v>1025</v>
      </c>
      <c r="D97" s="1">
        <v>129</v>
      </c>
      <c r="E97" s="1">
        <v>13</v>
      </c>
      <c r="F97" s="1">
        <v>1</v>
      </c>
      <c r="G97" s="1">
        <v>2823</v>
      </c>
      <c r="H97" s="3">
        <v>-1.1085078716278076</v>
      </c>
      <c r="I97" t="s">
        <v>4</v>
      </c>
    </row>
    <row r="98" spans="1:9" x14ac:dyDescent="0.3">
      <c r="A98" s="1">
        <v>21304</v>
      </c>
      <c r="B98" s="1">
        <v>1798</v>
      </c>
      <c r="C98" s="1">
        <v>1623</v>
      </c>
      <c r="D98" s="1">
        <v>325</v>
      </c>
      <c r="E98" s="1">
        <v>67</v>
      </c>
      <c r="F98" s="1">
        <v>14</v>
      </c>
      <c r="G98" s="1">
        <v>3827</v>
      </c>
      <c r="H98" s="3">
        <v>-0.92471939325332642</v>
      </c>
      <c r="I98" t="s">
        <v>5</v>
      </c>
    </row>
    <row r="99" spans="1:9" x14ac:dyDescent="0.3">
      <c r="A99" s="1">
        <v>21305</v>
      </c>
      <c r="B99" s="1">
        <v>1805</v>
      </c>
      <c r="C99" s="1">
        <v>3120</v>
      </c>
      <c r="D99" s="1">
        <v>1772</v>
      </c>
      <c r="E99" s="1">
        <v>592</v>
      </c>
      <c r="F99" s="1">
        <v>208</v>
      </c>
      <c r="G99" s="1">
        <v>7497</v>
      </c>
      <c r="H99" s="3">
        <v>-0.4053725004196167</v>
      </c>
      <c r="I99" t="s">
        <v>2</v>
      </c>
    </row>
    <row r="100" spans="1:9" x14ac:dyDescent="0.3">
      <c r="A100" s="1">
        <v>21306</v>
      </c>
      <c r="B100" s="1">
        <v>1456</v>
      </c>
      <c r="C100" s="1">
        <v>1296</v>
      </c>
      <c r="D100" s="1">
        <v>377</v>
      </c>
      <c r="E100" s="1">
        <v>62</v>
      </c>
      <c r="F100" s="1">
        <v>9</v>
      </c>
      <c r="G100" s="1">
        <v>3200</v>
      </c>
      <c r="H100" s="3">
        <v>-0.92280972003936768</v>
      </c>
      <c r="I100" t="s">
        <v>5</v>
      </c>
    </row>
    <row r="101" spans="1:9" x14ac:dyDescent="0.3">
      <c r="A101" s="1">
        <v>21307</v>
      </c>
      <c r="B101" s="1">
        <v>349</v>
      </c>
      <c r="C101" s="1">
        <v>674</v>
      </c>
      <c r="D101" s="1">
        <v>208</v>
      </c>
      <c r="E101" s="1">
        <v>36</v>
      </c>
      <c r="F101" s="1">
        <v>5</v>
      </c>
      <c r="G101" s="1">
        <v>1272</v>
      </c>
      <c r="H101" s="3">
        <v>-0.60093635320663452</v>
      </c>
      <c r="I101" t="s">
        <v>2</v>
      </c>
    </row>
    <row r="102" spans="1:9" x14ac:dyDescent="0.3">
      <c r="A102" s="1">
        <v>21401</v>
      </c>
      <c r="B102" s="1">
        <v>2182</v>
      </c>
      <c r="C102" s="1">
        <v>2581</v>
      </c>
      <c r="D102" s="1">
        <v>1189</v>
      </c>
      <c r="E102" s="1">
        <v>713</v>
      </c>
      <c r="F102" s="1">
        <v>331</v>
      </c>
      <c r="G102" s="1">
        <v>6996</v>
      </c>
      <c r="H102" s="3">
        <v>-0.49700349569320679</v>
      </c>
      <c r="I102" t="s">
        <v>2</v>
      </c>
    </row>
    <row r="103" spans="1:9" x14ac:dyDescent="0.3">
      <c r="A103" s="1">
        <v>21402</v>
      </c>
      <c r="B103" s="1">
        <v>628</v>
      </c>
      <c r="C103" s="1">
        <v>2147</v>
      </c>
      <c r="D103" s="1">
        <v>1614</v>
      </c>
      <c r="E103" s="1">
        <v>806</v>
      </c>
      <c r="F103" s="1">
        <v>185</v>
      </c>
      <c r="G103" s="1">
        <v>5380</v>
      </c>
      <c r="H103" s="3">
        <v>-0.10244246572256088</v>
      </c>
      <c r="I103" t="s">
        <v>1</v>
      </c>
    </row>
    <row r="104" spans="1:9" x14ac:dyDescent="0.3">
      <c r="A104" s="1">
        <v>21501</v>
      </c>
      <c r="B104" s="1">
        <v>1341</v>
      </c>
      <c r="C104" s="1">
        <v>538</v>
      </c>
      <c r="D104" s="1">
        <v>245</v>
      </c>
      <c r="E104" s="1">
        <v>123</v>
      </c>
      <c r="F104" s="1">
        <v>23</v>
      </c>
      <c r="G104" s="1">
        <v>2270</v>
      </c>
      <c r="H104" s="3">
        <v>-1.1336597204208374</v>
      </c>
      <c r="I104" t="s">
        <v>4</v>
      </c>
    </row>
    <row r="105" spans="1:9" x14ac:dyDescent="0.3">
      <c r="A105" s="1">
        <v>21502</v>
      </c>
      <c r="B105" s="1">
        <v>740</v>
      </c>
      <c r="C105" s="1">
        <v>678</v>
      </c>
      <c r="D105" s="1">
        <v>289</v>
      </c>
      <c r="E105" s="1">
        <v>217</v>
      </c>
      <c r="F105" s="1">
        <v>81</v>
      </c>
      <c r="G105" s="1">
        <v>2005</v>
      </c>
      <c r="H105" s="3">
        <v>-0.64828711748123169</v>
      </c>
      <c r="I105" t="s">
        <v>2</v>
      </c>
    </row>
    <row r="106" spans="1:9" x14ac:dyDescent="0.3">
      <c r="A106" s="1">
        <v>21601</v>
      </c>
      <c r="B106" s="1">
        <v>2199</v>
      </c>
      <c r="C106" s="1">
        <v>1216</v>
      </c>
      <c r="D106" s="1">
        <v>108</v>
      </c>
      <c r="E106" s="1">
        <v>25</v>
      </c>
      <c r="F106" s="1">
        <v>2</v>
      </c>
      <c r="G106" s="1">
        <v>3550</v>
      </c>
      <c r="H106" s="3">
        <v>-1.2021282911300659</v>
      </c>
      <c r="I106" t="s">
        <v>4</v>
      </c>
    </row>
    <row r="107" spans="1:9" x14ac:dyDescent="0.3">
      <c r="A107" s="1">
        <v>21602</v>
      </c>
      <c r="B107" s="1">
        <v>633</v>
      </c>
      <c r="C107" s="1">
        <v>338</v>
      </c>
      <c r="D107" s="1">
        <v>10</v>
      </c>
      <c r="E107" s="1">
        <v>1</v>
      </c>
      <c r="F107" s="1">
        <v>0</v>
      </c>
      <c r="G107" s="1">
        <v>982</v>
      </c>
      <c r="H107" s="3">
        <v>-1.2601313591003418</v>
      </c>
      <c r="I107" t="s">
        <v>4</v>
      </c>
    </row>
    <row r="108" spans="1:9" x14ac:dyDescent="0.3">
      <c r="A108" s="1">
        <v>21701</v>
      </c>
      <c r="B108" s="1">
        <v>1236</v>
      </c>
      <c r="C108" s="1">
        <v>2321</v>
      </c>
      <c r="D108" s="1">
        <v>863</v>
      </c>
      <c r="E108" s="1">
        <v>491</v>
      </c>
      <c r="F108" s="1">
        <v>233</v>
      </c>
      <c r="G108" s="1">
        <v>5144</v>
      </c>
      <c r="H108" s="3">
        <v>-0.41641005873680115</v>
      </c>
      <c r="I108" t="s">
        <v>2</v>
      </c>
    </row>
    <row r="109" spans="1:9" x14ac:dyDescent="0.3">
      <c r="A109" s="1">
        <v>21702</v>
      </c>
      <c r="B109" s="1">
        <v>979</v>
      </c>
      <c r="C109" s="1">
        <v>1196</v>
      </c>
      <c r="D109" s="1">
        <v>241</v>
      </c>
      <c r="E109" s="1">
        <v>43</v>
      </c>
      <c r="F109" s="1">
        <v>8</v>
      </c>
      <c r="G109" s="1">
        <v>2467</v>
      </c>
      <c r="H109" s="3">
        <v>-0.83628451824188232</v>
      </c>
      <c r="I109" t="s">
        <v>5</v>
      </c>
    </row>
    <row r="110" spans="1:9" x14ac:dyDescent="0.3">
      <c r="A110" s="1">
        <v>21703</v>
      </c>
      <c r="B110" s="1">
        <v>600</v>
      </c>
      <c r="C110" s="1">
        <v>529</v>
      </c>
      <c r="D110" s="1">
        <v>139</v>
      </c>
      <c r="E110" s="1">
        <v>26</v>
      </c>
      <c r="F110" s="1">
        <v>1</v>
      </c>
      <c r="G110" s="1">
        <v>1295</v>
      </c>
      <c r="H110" s="3">
        <v>-0.90170609951019287</v>
      </c>
      <c r="I110" t="s">
        <v>5</v>
      </c>
    </row>
    <row r="111" spans="1:9" x14ac:dyDescent="0.3">
      <c r="A111" s="1">
        <v>21801</v>
      </c>
      <c r="B111" s="1">
        <v>2199</v>
      </c>
      <c r="C111" s="1">
        <v>597</v>
      </c>
      <c r="D111" s="1">
        <v>28</v>
      </c>
      <c r="E111" s="1">
        <v>4</v>
      </c>
      <c r="F111" s="1">
        <v>0</v>
      </c>
      <c r="G111" s="1">
        <v>2828</v>
      </c>
      <c r="H111" s="3">
        <v>-1.457849383354187</v>
      </c>
      <c r="I111" t="s">
        <v>3</v>
      </c>
    </row>
    <row r="112" spans="1:9" x14ac:dyDescent="0.3">
      <c r="A112" s="1">
        <v>21802</v>
      </c>
      <c r="B112" s="1">
        <v>1854</v>
      </c>
      <c r="C112" s="1">
        <v>533</v>
      </c>
      <c r="D112" s="1">
        <v>36</v>
      </c>
      <c r="E112" s="1">
        <v>6</v>
      </c>
      <c r="F112" s="1">
        <v>0</v>
      </c>
      <c r="G112" s="1">
        <v>2429</v>
      </c>
      <c r="H112" s="3">
        <v>-1.4098632335662842</v>
      </c>
      <c r="I112" t="s">
        <v>3</v>
      </c>
    </row>
    <row r="113" spans="1:9" x14ac:dyDescent="0.3">
      <c r="A113" s="1">
        <v>21803</v>
      </c>
      <c r="B113" s="1">
        <v>664</v>
      </c>
      <c r="C113" s="1">
        <v>95</v>
      </c>
      <c r="D113" s="1">
        <v>10</v>
      </c>
      <c r="E113" s="1">
        <v>0</v>
      </c>
      <c r="F113" s="1">
        <v>0</v>
      </c>
      <c r="G113" s="1">
        <v>769</v>
      </c>
      <c r="H113" s="3">
        <v>-1.5361895561218262</v>
      </c>
      <c r="I113" t="s">
        <v>3</v>
      </c>
    </row>
    <row r="114" spans="1:9" x14ac:dyDescent="0.3">
      <c r="A114" s="1">
        <v>21901</v>
      </c>
      <c r="B114" s="1">
        <v>1390</v>
      </c>
      <c r="C114" s="1">
        <v>384</v>
      </c>
      <c r="D114" s="1">
        <v>45</v>
      </c>
      <c r="E114" s="1">
        <v>7</v>
      </c>
      <c r="F114" s="1">
        <v>4</v>
      </c>
      <c r="G114" s="1">
        <v>1830</v>
      </c>
      <c r="H114" s="3">
        <v>-1.3712457418441772</v>
      </c>
      <c r="I114" t="s">
        <v>3</v>
      </c>
    </row>
    <row r="115" spans="1:9" x14ac:dyDescent="0.3">
      <c r="A115" s="1">
        <v>21902</v>
      </c>
      <c r="B115" s="1">
        <v>530</v>
      </c>
      <c r="C115" s="1">
        <v>191</v>
      </c>
      <c r="D115" s="1">
        <v>13</v>
      </c>
      <c r="E115" s="1">
        <v>2</v>
      </c>
      <c r="F115" s="1">
        <v>0</v>
      </c>
      <c r="G115" s="1">
        <v>736</v>
      </c>
      <c r="H115" s="3">
        <v>-1.3444172143936157</v>
      </c>
      <c r="I115" t="s">
        <v>3</v>
      </c>
    </row>
    <row r="116" spans="1:9" x14ac:dyDescent="0.3">
      <c r="A116" s="1">
        <v>22001</v>
      </c>
      <c r="B116" s="1">
        <v>8138</v>
      </c>
      <c r="C116" s="1">
        <v>4771</v>
      </c>
      <c r="D116" s="1">
        <v>1869</v>
      </c>
      <c r="E116" s="1">
        <v>1422</v>
      </c>
      <c r="F116" s="1">
        <v>821</v>
      </c>
      <c r="G116" s="1">
        <v>17021</v>
      </c>
      <c r="H116" s="3">
        <v>-0.78495198488235474</v>
      </c>
      <c r="I116" t="s">
        <v>5</v>
      </c>
    </row>
    <row r="117" spans="1:9" x14ac:dyDescent="0.3">
      <c r="A117" s="1">
        <v>22002</v>
      </c>
      <c r="B117" s="1">
        <v>2647</v>
      </c>
      <c r="C117" s="1">
        <v>1007</v>
      </c>
      <c r="D117" s="1">
        <v>330</v>
      </c>
      <c r="E117" s="1">
        <v>180</v>
      </c>
      <c r="F117" s="1">
        <v>46</v>
      </c>
      <c r="G117" s="1">
        <v>4210</v>
      </c>
      <c r="H117" s="3">
        <v>-1.1887089014053345</v>
      </c>
      <c r="I117" t="s">
        <v>4</v>
      </c>
    </row>
    <row r="118" spans="1:9" x14ac:dyDescent="0.3">
      <c r="A118" s="1">
        <v>30101</v>
      </c>
      <c r="B118" s="1">
        <v>2124</v>
      </c>
      <c r="C118" s="1">
        <v>18964</v>
      </c>
      <c r="D118" s="1">
        <v>48563</v>
      </c>
      <c r="E118" s="1">
        <v>46575</v>
      </c>
      <c r="F118" s="1">
        <v>61150</v>
      </c>
      <c r="G118" s="1">
        <v>177376</v>
      </c>
      <c r="H118" s="3">
        <v>0.61201047897338867</v>
      </c>
      <c r="I118" t="s">
        <v>1</v>
      </c>
    </row>
    <row r="119" spans="1:9" x14ac:dyDescent="0.3">
      <c r="A119" s="1">
        <v>30201</v>
      </c>
      <c r="B119" s="1">
        <v>2926</v>
      </c>
      <c r="C119" s="1">
        <v>1403</v>
      </c>
      <c r="D119" s="1">
        <v>729</v>
      </c>
      <c r="E119" s="1">
        <v>808</v>
      </c>
      <c r="F119" s="1">
        <v>633</v>
      </c>
      <c r="G119" s="1">
        <v>6499</v>
      </c>
      <c r="H119" s="3">
        <v>-0.65114068984985352</v>
      </c>
      <c r="I119" t="s">
        <v>2</v>
      </c>
    </row>
    <row r="120" spans="1:9" x14ac:dyDescent="0.3">
      <c r="A120" s="1">
        <v>30202</v>
      </c>
      <c r="B120" s="1">
        <v>839</v>
      </c>
      <c r="C120" s="1">
        <v>414</v>
      </c>
      <c r="D120" s="1">
        <v>233</v>
      </c>
      <c r="E120" s="1">
        <v>43</v>
      </c>
      <c r="F120" s="1">
        <v>8</v>
      </c>
      <c r="G120" s="1">
        <v>1537</v>
      </c>
      <c r="H120" s="3">
        <v>-0.97687220573425293</v>
      </c>
      <c r="I120" t="s">
        <v>4</v>
      </c>
    </row>
    <row r="121" spans="1:9" x14ac:dyDescent="0.3">
      <c r="A121" s="1">
        <v>30203</v>
      </c>
      <c r="B121" s="1">
        <v>371</v>
      </c>
      <c r="C121" s="1">
        <v>627</v>
      </c>
      <c r="D121" s="1">
        <v>301</v>
      </c>
      <c r="E121" s="1">
        <v>114</v>
      </c>
      <c r="F121" s="1">
        <v>21</v>
      </c>
      <c r="G121" s="1">
        <v>1434</v>
      </c>
      <c r="H121" s="3">
        <v>-0.47261843085289001</v>
      </c>
      <c r="I121" t="s">
        <v>2</v>
      </c>
    </row>
    <row r="122" spans="1:9" x14ac:dyDescent="0.3">
      <c r="A122" s="1">
        <v>30301</v>
      </c>
      <c r="B122" s="1">
        <v>4696</v>
      </c>
      <c r="C122" s="1">
        <v>1813</v>
      </c>
      <c r="D122" s="1">
        <v>619</v>
      </c>
      <c r="E122" s="1">
        <v>172</v>
      </c>
      <c r="F122" s="1">
        <v>47</v>
      </c>
      <c r="G122" s="1">
        <v>7347</v>
      </c>
      <c r="H122" s="3">
        <v>-1.179084300994873</v>
      </c>
      <c r="I122" t="s">
        <v>4</v>
      </c>
    </row>
    <row r="123" spans="1:9" x14ac:dyDescent="0.3">
      <c r="A123" s="1">
        <v>30302</v>
      </c>
      <c r="B123" s="1">
        <v>2794</v>
      </c>
      <c r="C123" s="1">
        <v>986</v>
      </c>
      <c r="D123" s="1">
        <v>110</v>
      </c>
      <c r="E123" s="1">
        <v>31</v>
      </c>
      <c r="F123" s="1">
        <v>15</v>
      </c>
      <c r="G123" s="1">
        <v>3936</v>
      </c>
      <c r="H123" s="3">
        <v>-1.3370989561080933</v>
      </c>
      <c r="I123" t="s">
        <v>3</v>
      </c>
    </row>
    <row r="124" spans="1:9" x14ac:dyDescent="0.3">
      <c r="A124" s="1">
        <v>30303</v>
      </c>
      <c r="B124" s="1">
        <v>4268</v>
      </c>
      <c r="C124" s="1">
        <v>602</v>
      </c>
      <c r="D124" s="1">
        <v>31</v>
      </c>
      <c r="E124" s="1">
        <v>14</v>
      </c>
      <c r="F124" s="1">
        <v>5</v>
      </c>
      <c r="G124" s="1">
        <v>4920</v>
      </c>
      <c r="H124" s="3">
        <v>-1.7003791332244873</v>
      </c>
      <c r="I124" t="s">
        <v>3</v>
      </c>
    </row>
    <row r="125" spans="1:9" x14ac:dyDescent="0.3">
      <c r="A125" s="1">
        <v>30401</v>
      </c>
      <c r="B125" s="1">
        <v>814</v>
      </c>
      <c r="C125" s="1">
        <v>731</v>
      </c>
      <c r="D125" s="1">
        <v>465</v>
      </c>
      <c r="E125" s="1">
        <v>343</v>
      </c>
      <c r="F125" s="1">
        <v>240</v>
      </c>
      <c r="G125" s="1">
        <v>2593</v>
      </c>
      <c r="H125" s="3">
        <v>-0.40603968501091003</v>
      </c>
      <c r="I125" t="s">
        <v>2</v>
      </c>
    </row>
    <row r="126" spans="1:9" x14ac:dyDescent="0.3">
      <c r="A126" s="1">
        <v>30402</v>
      </c>
      <c r="B126" s="1">
        <v>1624</v>
      </c>
      <c r="C126" s="1">
        <v>720</v>
      </c>
      <c r="D126" s="1">
        <v>183</v>
      </c>
      <c r="E126" s="1">
        <v>75</v>
      </c>
      <c r="F126" s="1">
        <v>34</v>
      </c>
      <c r="G126" s="1">
        <v>2636</v>
      </c>
      <c r="H126" s="3">
        <v>-1.1451658010482788</v>
      </c>
      <c r="I126" t="s">
        <v>4</v>
      </c>
    </row>
    <row r="127" spans="1:9" x14ac:dyDescent="0.3">
      <c r="A127" s="1">
        <v>30403</v>
      </c>
      <c r="B127" s="1">
        <v>925</v>
      </c>
      <c r="C127" s="1">
        <v>2341</v>
      </c>
      <c r="D127" s="1">
        <v>1471</v>
      </c>
      <c r="E127" s="1">
        <v>576</v>
      </c>
      <c r="F127" s="1">
        <v>219</v>
      </c>
      <c r="G127" s="1">
        <v>5532</v>
      </c>
      <c r="H127" s="3">
        <v>-0.24295201897621155</v>
      </c>
      <c r="I127" t="s">
        <v>2</v>
      </c>
    </row>
    <row r="128" spans="1:9" x14ac:dyDescent="0.3">
      <c r="A128" s="1">
        <v>30404</v>
      </c>
      <c r="B128" s="1">
        <v>957</v>
      </c>
      <c r="C128" s="1">
        <v>422</v>
      </c>
      <c r="D128" s="1">
        <v>73</v>
      </c>
      <c r="E128" s="1">
        <v>17</v>
      </c>
      <c r="F128" s="1">
        <v>4</v>
      </c>
      <c r="G128" s="1">
        <v>1473</v>
      </c>
      <c r="H128" s="3">
        <v>-1.2149776220321655</v>
      </c>
      <c r="I128" t="s">
        <v>4</v>
      </c>
    </row>
    <row r="129" spans="1:9" x14ac:dyDescent="0.3">
      <c r="A129" s="1">
        <v>30501</v>
      </c>
      <c r="B129" s="1">
        <v>622</v>
      </c>
      <c r="C129" s="1">
        <v>1213</v>
      </c>
      <c r="D129" s="1">
        <v>736</v>
      </c>
      <c r="E129" s="1">
        <v>414</v>
      </c>
      <c r="F129" s="1">
        <v>159</v>
      </c>
      <c r="G129" s="1">
        <v>3144</v>
      </c>
      <c r="H129" s="3">
        <v>-0.25351881980895996</v>
      </c>
      <c r="I129" t="s">
        <v>2</v>
      </c>
    </row>
    <row r="130" spans="1:9" x14ac:dyDescent="0.3">
      <c r="A130" s="1">
        <v>30502</v>
      </c>
      <c r="B130" s="1">
        <v>1633</v>
      </c>
      <c r="C130" s="1">
        <v>1338</v>
      </c>
      <c r="D130" s="1">
        <v>164</v>
      </c>
      <c r="E130" s="1">
        <v>46</v>
      </c>
      <c r="F130" s="1">
        <v>21</v>
      </c>
      <c r="G130" s="1">
        <v>3202</v>
      </c>
      <c r="H130" s="3">
        <v>-1.0376423597335815</v>
      </c>
      <c r="I130" t="s">
        <v>4</v>
      </c>
    </row>
    <row r="131" spans="1:9" x14ac:dyDescent="0.3">
      <c r="A131" s="1">
        <v>30601</v>
      </c>
      <c r="B131" s="1">
        <v>2423</v>
      </c>
      <c r="C131" s="1">
        <v>791</v>
      </c>
      <c r="D131" s="1">
        <v>74</v>
      </c>
      <c r="E131" s="1">
        <v>12</v>
      </c>
      <c r="F131" s="1">
        <v>3</v>
      </c>
      <c r="G131" s="1">
        <v>3303</v>
      </c>
      <c r="H131" s="3">
        <v>-1.3685152530670166</v>
      </c>
      <c r="I131" t="s">
        <v>3</v>
      </c>
    </row>
    <row r="132" spans="1:9" x14ac:dyDescent="0.3">
      <c r="A132" s="1">
        <v>30602</v>
      </c>
      <c r="B132" s="1">
        <v>2452</v>
      </c>
      <c r="C132" s="1">
        <v>840</v>
      </c>
      <c r="D132" s="1">
        <v>36</v>
      </c>
      <c r="E132" s="1">
        <v>8</v>
      </c>
      <c r="F132" s="1">
        <v>1</v>
      </c>
      <c r="G132" s="1">
        <v>3337</v>
      </c>
      <c r="H132" s="3">
        <v>-1.3253520727157593</v>
      </c>
      <c r="I132" t="s">
        <v>3</v>
      </c>
    </row>
    <row r="133" spans="1:9" x14ac:dyDescent="0.3">
      <c r="A133" s="1">
        <v>30701</v>
      </c>
      <c r="B133" s="1">
        <v>1595</v>
      </c>
      <c r="C133" s="1">
        <v>1635</v>
      </c>
      <c r="D133" s="1">
        <v>1352</v>
      </c>
      <c r="E133" s="1">
        <v>852</v>
      </c>
      <c r="F133" s="1">
        <v>494</v>
      </c>
      <c r="G133" s="1">
        <v>5928</v>
      </c>
      <c r="H133" s="3">
        <v>-0.32547146081924438</v>
      </c>
      <c r="I133" t="s">
        <v>2</v>
      </c>
    </row>
    <row r="134" spans="1:9" x14ac:dyDescent="0.3">
      <c r="A134" s="1">
        <v>30702</v>
      </c>
      <c r="B134" s="1">
        <v>708</v>
      </c>
      <c r="C134" s="1">
        <v>1075</v>
      </c>
      <c r="D134" s="1">
        <v>358</v>
      </c>
      <c r="E134" s="1">
        <v>194</v>
      </c>
      <c r="F134" s="1">
        <v>68</v>
      </c>
      <c r="G134" s="1">
        <v>2403</v>
      </c>
      <c r="H134" s="3">
        <v>-0.54009419679641724</v>
      </c>
      <c r="I134" t="s">
        <v>2</v>
      </c>
    </row>
    <row r="135" spans="1:9" x14ac:dyDescent="0.3">
      <c r="A135" s="1">
        <v>30703</v>
      </c>
      <c r="B135" s="1">
        <v>517</v>
      </c>
      <c r="C135" s="1">
        <v>430</v>
      </c>
      <c r="D135" s="1">
        <v>105</v>
      </c>
      <c r="E135" s="1">
        <v>27</v>
      </c>
      <c r="F135" s="1">
        <v>4</v>
      </c>
      <c r="G135" s="1">
        <v>1083</v>
      </c>
      <c r="H135" s="3">
        <v>-0.96898907423019409</v>
      </c>
      <c r="I135" t="s">
        <v>4</v>
      </c>
    </row>
    <row r="136" spans="1:9" x14ac:dyDescent="0.3">
      <c r="A136" s="1">
        <v>30801</v>
      </c>
      <c r="B136" s="1">
        <v>425</v>
      </c>
      <c r="C136" s="1">
        <v>1690</v>
      </c>
      <c r="D136" s="1">
        <v>1534</v>
      </c>
      <c r="E136" s="1">
        <v>1193</v>
      </c>
      <c r="F136" s="1">
        <v>1118</v>
      </c>
      <c r="G136" s="1">
        <v>5960</v>
      </c>
      <c r="H136" s="3">
        <v>0.21350505948066711</v>
      </c>
      <c r="I136" t="s">
        <v>1</v>
      </c>
    </row>
    <row r="137" spans="1:9" x14ac:dyDescent="0.3">
      <c r="A137" s="1">
        <v>30802</v>
      </c>
      <c r="B137" s="1">
        <v>544</v>
      </c>
      <c r="C137" s="1">
        <v>1017</v>
      </c>
      <c r="D137" s="1">
        <v>307</v>
      </c>
      <c r="E137" s="1">
        <v>151</v>
      </c>
      <c r="F137" s="1">
        <v>42</v>
      </c>
      <c r="G137" s="1">
        <v>2061</v>
      </c>
      <c r="H137" s="3">
        <v>-0.5208592414855957</v>
      </c>
      <c r="I137" t="s">
        <v>2</v>
      </c>
    </row>
    <row r="138" spans="1:9" x14ac:dyDescent="0.3">
      <c r="A138" s="1">
        <v>30803</v>
      </c>
      <c r="B138" s="1">
        <v>85</v>
      </c>
      <c r="C138" s="1">
        <v>451</v>
      </c>
      <c r="D138" s="1">
        <v>491</v>
      </c>
      <c r="E138" s="1">
        <v>328</v>
      </c>
      <c r="F138" s="1">
        <v>115</v>
      </c>
      <c r="G138" s="1">
        <v>1470</v>
      </c>
      <c r="H138" s="3">
        <v>0.15251827239990234</v>
      </c>
      <c r="I138" t="s">
        <v>1</v>
      </c>
    </row>
    <row r="139" spans="1:9" x14ac:dyDescent="0.3">
      <c r="A139" s="1">
        <v>30901</v>
      </c>
      <c r="B139" s="1">
        <v>1023</v>
      </c>
      <c r="C139" s="1">
        <v>3656</v>
      </c>
      <c r="D139" s="1">
        <v>9633</v>
      </c>
      <c r="E139" s="1">
        <v>11568</v>
      </c>
      <c r="F139" s="1">
        <v>10051</v>
      </c>
      <c r="G139" s="1">
        <v>35931</v>
      </c>
      <c r="H139" s="3">
        <v>0.54376667737960815</v>
      </c>
      <c r="I139" t="s">
        <v>1</v>
      </c>
    </row>
    <row r="140" spans="1:9" x14ac:dyDescent="0.3">
      <c r="A140" s="1">
        <v>30902</v>
      </c>
      <c r="B140" s="1">
        <v>1541</v>
      </c>
      <c r="C140" s="1">
        <v>3145</v>
      </c>
      <c r="D140" s="1">
        <v>3867</v>
      </c>
      <c r="E140" s="1">
        <v>2298</v>
      </c>
      <c r="F140" s="1">
        <v>752</v>
      </c>
      <c r="G140" s="1">
        <v>11603</v>
      </c>
      <c r="H140" s="3">
        <v>-8.2469936460256577E-3</v>
      </c>
      <c r="I140" t="s">
        <v>1</v>
      </c>
    </row>
    <row r="141" spans="1:9" x14ac:dyDescent="0.3">
      <c r="A141" s="1">
        <v>30903</v>
      </c>
      <c r="B141" s="1">
        <v>1208</v>
      </c>
      <c r="C141" s="1">
        <v>1880</v>
      </c>
      <c r="D141" s="1">
        <v>3954</v>
      </c>
      <c r="E141" s="1">
        <v>3733</v>
      </c>
      <c r="F141" s="1">
        <v>3082</v>
      </c>
      <c r="G141" s="1">
        <v>13857</v>
      </c>
      <c r="H141" s="3">
        <v>0.32704097032546997</v>
      </c>
      <c r="I141" t="s">
        <v>1</v>
      </c>
    </row>
    <row r="142" spans="1:9" x14ac:dyDescent="0.3">
      <c r="A142" s="1">
        <v>30904</v>
      </c>
      <c r="B142" s="1">
        <v>765</v>
      </c>
      <c r="C142" s="1">
        <v>3011</v>
      </c>
      <c r="D142" s="1">
        <v>4892</v>
      </c>
      <c r="E142" s="1">
        <v>3670</v>
      </c>
      <c r="F142" s="1">
        <v>1974</v>
      </c>
      <c r="G142" s="1">
        <v>14312</v>
      </c>
      <c r="H142" s="3">
        <v>0.28430125117301941</v>
      </c>
      <c r="I142" t="s">
        <v>1</v>
      </c>
    </row>
    <row r="143" spans="1:9" x14ac:dyDescent="0.3">
      <c r="A143" s="1">
        <v>30905</v>
      </c>
      <c r="B143" s="1">
        <v>30</v>
      </c>
      <c r="C143" s="1">
        <v>840</v>
      </c>
      <c r="D143" s="1">
        <v>2831</v>
      </c>
      <c r="E143" s="1">
        <v>4313</v>
      </c>
      <c r="F143" s="1">
        <v>5500</v>
      </c>
      <c r="G143" s="1">
        <v>13514</v>
      </c>
      <c r="H143" s="3">
        <v>0.72223597764968872</v>
      </c>
      <c r="I143" t="s">
        <v>1</v>
      </c>
    </row>
    <row r="144" spans="1:9" x14ac:dyDescent="0.3">
      <c r="A144" s="1">
        <v>31001</v>
      </c>
      <c r="B144" s="1">
        <v>3379</v>
      </c>
      <c r="C144" s="1">
        <v>9238</v>
      </c>
      <c r="D144" s="1">
        <v>12020</v>
      </c>
      <c r="E144" s="1">
        <v>10698</v>
      </c>
      <c r="F144" s="1">
        <v>12201</v>
      </c>
      <c r="G144" s="1">
        <v>47536</v>
      </c>
      <c r="H144" s="3">
        <v>0.33418133854866028</v>
      </c>
      <c r="I144" t="s">
        <v>1</v>
      </c>
    </row>
    <row r="145" spans="1:9" x14ac:dyDescent="0.3">
      <c r="A145" s="1">
        <v>31002</v>
      </c>
      <c r="B145" s="1">
        <v>2277</v>
      </c>
      <c r="C145" s="1">
        <v>2202</v>
      </c>
      <c r="D145" s="1">
        <v>913</v>
      </c>
      <c r="E145" s="1">
        <v>463</v>
      </c>
      <c r="F145" s="1">
        <v>167</v>
      </c>
      <c r="G145" s="1">
        <v>6022</v>
      </c>
      <c r="H145" s="3">
        <v>-0.69953608512878418</v>
      </c>
      <c r="I145" t="s">
        <v>2</v>
      </c>
    </row>
    <row r="146" spans="1:9" x14ac:dyDescent="0.3">
      <c r="A146" s="1">
        <v>31003</v>
      </c>
      <c r="B146" s="1">
        <v>16297</v>
      </c>
      <c r="C146" s="1">
        <v>5898</v>
      </c>
      <c r="D146" s="1">
        <v>2522</v>
      </c>
      <c r="E146" s="1">
        <v>1455</v>
      </c>
      <c r="F146" s="1">
        <v>553</v>
      </c>
      <c r="G146" s="1">
        <v>26725</v>
      </c>
      <c r="H146" s="3">
        <v>-1.1390155553817749</v>
      </c>
      <c r="I146" t="s">
        <v>4</v>
      </c>
    </row>
    <row r="147" spans="1:9" x14ac:dyDescent="0.3">
      <c r="A147" s="1">
        <v>31101</v>
      </c>
      <c r="B147" s="1">
        <v>6587</v>
      </c>
      <c r="C147" s="1">
        <v>1260</v>
      </c>
      <c r="D147" s="1">
        <v>210</v>
      </c>
      <c r="E147" s="1">
        <v>47</v>
      </c>
      <c r="F147" s="1">
        <v>9</v>
      </c>
      <c r="G147" s="1">
        <v>8113</v>
      </c>
      <c r="H147" s="3">
        <v>-1.5543738603591919</v>
      </c>
      <c r="I147" t="s">
        <v>3</v>
      </c>
    </row>
    <row r="148" spans="1:9" x14ac:dyDescent="0.3">
      <c r="A148" s="1">
        <v>31201</v>
      </c>
      <c r="B148" s="1">
        <v>3266</v>
      </c>
      <c r="C148" s="1">
        <v>917</v>
      </c>
      <c r="D148" s="1">
        <v>382</v>
      </c>
      <c r="E148" s="1">
        <v>135</v>
      </c>
      <c r="F148" s="1">
        <v>29</v>
      </c>
      <c r="G148" s="1">
        <v>4729</v>
      </c>
      <c r="H148" s="3">
        <v>-1.2505615949630737</v>
      </c>
      <c r="I148" t="s">
        <v>4</v>
      </c>
    </row>
    <row r="149" spans="1:9" x14ac:dyDescent="0.3">
      <c r="A149" s="1">
        <v>31202</v>
      </c>
      <c r="B149" s="1">
        <v>2161</v>
      </c>
      <c r="C149" s="1">
        <v>619</v>
      </c>
      <c r="D149" s="1">
        <v>167</v>
      </c>
      <c r="E149" s="1">
        <v>45</v>
      </c>
      <c r="F149" s="1">
        <v>11</v>
      </c>
      <c r="G149" s="1">
        <v>3003</v>
      </c>
      <c r="H149" s="3">
        <v>-1.3900560140609741</v>
      </c>
      <c r="I149" t="s">
        <v>3</v>
      </c>
    </row>
    <row r="150" spans="1:9" x14ac:dyDescent="0.3">
      <c r="A150" s="1">
        <v>31203</v>
      </c>
      <c r="B150" s="1">
        <v>1670</v>
      </c>
      <c r="C150" s="1">
        <v>1661</v>
      </c>
      <c r="D150" s="1">
        <v>187</v>
      </c>
      <c r="E150" s="1">
        <v>23</v>
      </c>
      <c r="F150" s="1">
        <v>3</v>
      </c>
      <c r="G150" s="1">
        <v>3544</v>
      </c>
      <c r="H150" s="3">
        <v>-0.99730271100997925</v>
      </c>
      <c r="I150" t="s">
        <v>4</v>
      </c>
    </row>
    <row r="151" spans="1:9" x14ac:dyDescent="0.3">
      <c r="A151" s="1">
        <v>31204</v>
      </c>
      <c r="B151" s="1">
        <v>3557</v>
      </c>
      <c r="C151" s="1">
        <v>1290</v>
      </c>
      <c r="D151" s="1">
        <v>1178</v>
      </c>
      <c r="E151" s="1">
        <v>886</v>
      </c>
      <c r="F151" s="1">
        <v>352</v>
      </c>
      <c r="G151" s="1">
        <v>7263</v>
      </c>
      <c r="H151" s="3">
        <v>-0.77254283428192139</v>
      </c>
      <c r="I151" t="s">
        <v>5</v>
      </c>
    </row>
    <row r="152" spans="1:9" x14ac:dyDescent="0.3">
      <c r="A152" s="1">
        <v>31205</v>
      </c>
      <c r="B152" s="1">
        <v>7485</v>
      </c>
      <c r="C152" s="1">
        <v>4276</v>
      </c>
      <c r="D152" s="1">
        <v>2602</v>
      </c>
      <c r="E152" s="1">
        <v>1864</v>
      </c>
      <c r="F152" s="1">
        <v>724</v>
      </c>
      <c r="G152" s="1">
        <v>16951</v>
      </c>
      <c r="H152" s="3">
        <v>-0.71895134449005127</v>
      </c>
      <c r="I152" t="s">
        <v>5</v>
      </c>
    </row>
    <row r="153" spans="1:9" x14ac:dyDescent="0.3">
      <c r="A153" s="1">
        <v>31206</v>
      </c>
      <c r="B153" s="1">
        <v>6078</v>
      </c>
      <c r="C153" s="1">
        <v>2211</v>
      </c>
      <c r="D153" s="1">
        <v>1840</v>
      </c>
      <c r="E153" s="1">
        <v>1653</v>
      </c>
      <c r="F153" s="1">
        <v>693</v>
      </c>
      <c r="G153" s="1">
        <v>12475</v>
      </c>
      <c r="H153" s="3">
        <v>-0.77458548545837402</v>
      </c>
      <c r="I153" t="s">
        <v>5</v>
      </c>
    </row>
    <row r="154" spans="1:9" x14ac:dyDescent="0.3">
      <c r="A154" s="1">
        <v>31301</v>
      </c>
      <c r="B154" s="1">
        <v>4137</v>
      </c>
      <c r="C154" s="1">
        <v>2159</v>
      </c>
      <c r="D154" s="1">
        <v>876</v>
      </c>
      <c r="E154" s="1">
        <v>518</v>
      </c>
      <c r="F154" s="1">
        <v>221</v>
      </c>
      <c r="G154" s="1">
        <v>7911</v>
      </c>
      <c r="H154" s="3">
        <v>-0.94957154989242554</v>
      </c>
      <c r="I154" t="s">
        <v>4</v>
      </c>
    </row>
    <row r="155" spans="1:9" x14ac:dyDescent="0.3">
      <c r="A155" s="1">
        <v>31302</v>
      </c>
      <c r="B155" s="1">
        <v>1209</v>
      </c>
      <c r="C155" s="1">
        <v>253</v>
      </c>
      <c r="D155" s="1">
        <v>58</v>
      </c>
      <c r="E155" s="1">
        <v>16</v>
      </c>
      <c r="F155" s="1">
        <v>4</v>
      </c>
      <c r="G155" s="1">
        <v>1540</v>
      </c>
      <c r="H155" s="3">
        <v>-1.4656187295913696</v>
      </c>
      <c r="I155" t="s">
        <v>3</v>
      </c>
    </row>
    <row r="156" spans="1:9" x14ac:dyDescent="0.3">
      <c r="A156" s="1">
        <v>31303</v>
      </c>
      <c r="B156" s="1">
        <v>958</v>
      </c>
      <c r="C156" s="1">
        <v>160</v>
      </c>
      <c r="D156" s="1">
        <v>4</v>
      </c>
      <c r="E156" s="1">
        <v>0</v>
      </c>
      <c r="F156" s="1">
        <v>0</v>
      </c>
      <c r="G156" s="1">
        <v>1122</v>
      </c>
      <c r="H156" s="3">
        <v>-1.5461182594299316</v>
      </c>
      <c r="I156" t="s">
        <v>3</v>
      </c>
    </row>
    <row r="157" spans="1:9" x14ac:dyDescent="0.3">
      <c r="A157" s="1">
        <v>31401</v>
      </c>
      <c r="B157" s="1">
        <v>331</v>
      </c>
      <c r="C157" s="1">
        <v>2527</v>
      </c>
      <c r="D157" s="1">
        <v>2856</v>
      </c>
      <c r="E157" s="1">
        <v>1729</v>
      </c>
      <c r="F157" s="1">
        <v>1341</v>
      </c>
      <c r="G157" s="1">
        <v>8784</v>
      </c>
      <c r="H157" s="3">
        <v>0.24931035935878754</v>
      </c>
      <c r="I157" t="s">
        <v>1</v>
      </c>
    </row>
    <row r="158" spans="1:9" x14ac:dyDescent="0.3">
      <c r="A158" s="1">
        <v>31402</v>
      </c>
      <c r="B158" s="1">
        <v>628</v>
      </c>
      <c r="C158" s="1">
        <v>1736</v>
      </c>
      <c r="D158" s="1">
        <v>506</v>
      </c>
      <c r="E158" s="1">
        <v>130</v>
      </c>
      <c r="F158" s="1">
        <v>42</v>
      </c>
      <c r="G158" s="1">
        <v>3042</v>
      </c>
      <c r="H158" s="3">
        <v>-0.48022297024726868</v>
      </c>
      <c r="I158" t="s">
        <v>2</v>
      </c>
    </row>
    <row r="159" spans="1:9" x14ac:dyDescent="0.3">
      <c r="A159" s="1">
        <v>31403</v>
      </c>
      <c r="B159" s="1">
        <v>391</v>
      </c>
      <c r="C159" s="1">
        <v>1354</v>
      </c>
      <c r="D159" s="1">
        <v>1142</v>
      </c>
      <c r="E159" s="1">
        <v>752</v>
      </c>
      <c r="F159" s="1">
        <v>285</v>
      </c>
      <c r="G159" s="1">
        <v>3924</v>
      </c>
      <c r="H159" s="3">
        <v>1.598595455288887E-2</v>
      </c>
      <c r="I159" t="s">
        <v>1</v>
      </c>
    </row>
    <row r="160" spans="1:9" x14ac:dyDescent="0.3">
      <c r="A160" s="1">
        <v>31404</v>
      </c>
      <c r="B160" s="1">
        <v>117</v>
      </c>
      <c r="C160" s="1">
        <v>193</v>
      </c>
      <c r="D160" s="1">
        <v>42</v>
      </c>
      <c r="E160" s="1">
        <v>6</v>
      </c>
      <c r="F160" s="1">
        <v>1</v>
      </c>
      <c r="G160" s="1">
        <v>359</v>
      </c>
      <c r="H160" s="3">
        <v>-0.70207017660140991</v>
      </c>
      <c r="I160" t="s">
        <v>2</v>
      </c>
    </row>
    <row r="161" spans="1:9" x14ac:dyDescent="0.3">
      <c r="A161" s="1">
        <v>31405</v>
      </c>
      <c r="B161" s="1">
        <v>387</v>
      </c>
      <c r="C161" s="1">
        <v>265</v>
      </c>
      <c r="D161" s="1">
        <v>34</v>
      </c>
      <c r="E161" s="1">
        <v>14</v>
      </c>
      <c r="F161" s="1">
        <v>1</v>
      </c>
      <c r="G161" s="1">
        <v>701</v>
      </c>
      <c r="H161" s="3">
        <v>-1.1168080568313599</v>
      </c>
      <c r="I161" t="s">
        <v>4</v>
      </c>
    </row>
    <row r="162" spans="1:9" x14ac:dyDescent="0.3">
      <c r="A162" s="1">
        <v>31501</v>
      </c>
      <c r="B162" s="1">
        <v>1595</v>
      </c>
      <c r="C162" s="1">
        <v>684</v>
      </c>
      <c r="D162" s="1">
        <v>76</v>
      </c>
      <c r="E162" s="1">
        <v>11</v>
      </c>
      <c r="F162" s="1">
        <v>0</v>
      </c>
      <c r="G162" s="1">
        <v>2366</v>
      </c>
      <c r="H162" s="3">
        <v>-1.2558021545410156</v>
      </c>
      <c r="I162" t="s">
        <v>4</v>
      </c>
    </row>
    <row r="163" spans="1:9" x14ac:dyDescent="0.3">
      <c r="A163" s="1">
        <v>31601</v>
      </c>
      <c r="B163" s="1">
        <v>2352</v>
      </c>
      <c r="C163" s="1">
        <v>3433</v>
      </c>
      <c r="D163" s="1">
        <v>497</v>
      </c>
      <c r="E163" s="1">
        <v>154</v>
      </c>
      <c r="F163" s="1">
        <v>60</v>
      </c>
      <c r="G163" s="1">
        <v>6496</v>
      </c>
      <c r="H163" s="3">
        <v>-0.8374398946762085</v>
      </c>
      <c r="I163" t="s">
        <v>5</v>
      </c>
    </row>
    <row r="164" spans="1:9" x14ac:dyDescent="0.3">
      <c r="A164" s="1">
        <v>31602</v>
      </c>
      <c r="B164" s="1">
        <v>3554</v>
      </c>
      <c r="C164" s="1">
        <v>1483</v>
      </c>
      <c r="D164" s="1">
        <v>934</v>
      </c>
      <c r="E164" s="1">
        <v>1137</v>
      </c>
      <c r="F164" s="1">
        <v>503</v>
      </c>
      <c r="G164" s="1">
        <v>7611</v>
      </c>
      <c r="H164" s="3">
        <v>-0.74111741781234741</v>
      </c>
      <c r="I164" t="s">
        <v>5</v>
      </c>
    </row>
    <row r="165" spans="1:9" x14ac:dyDescent="0.3">
      <c r="A165" s="1">
        <v>40101</v>
      </c>
      <c r="B165" s="1">
        <v>1758</v>
      </c>
      <c r="C165" s="1">
        <v>10030</v>
      </c>
      <c r="D165" s="1">
        <v>22949</v>
      </c>
      <c r="E165" s="1">
        <v>24350</v>
      </c>
      <c r="F165" s="1">
        <v>17637</v>
      </c>
      <c r="G165" s="1">
        <v>76724</v>
      </c>
      <c r="H165" s="3">
        <v>0.49783188104629517</v>
      </c>
      <c r="I165" t="s">
        <v>1</v>
      </c>
    </row>
    <row r="166" spans="1:9" x14ac:dyDescent="0.3">
      <c r="A166" s="1">
        <v>40102</v>
      </c>
      <c r="B166" s="1">
        <v>3125</v>
      </c>
      <c r="C166" s="1">
        <v>1923</v>
      </c>
      <c r="D166" s="1">
        <v>1214</v>
      </c>
      <c r="E166" s="1">
        <v>346</v>
      </c>
      <c r="F166" s="1">
        <v>82</v>
      </c>
      <c r="G166" s="1">
        <v>6690</v>
      </c>
      <c r="H166" s="3">
        <v>-0.81055307388305664</v>
      </c>
      <c r="I166" t="s">
        <v>5</v>
      </c>
    </row>
    <row r="167" spans="1:9" x14ac:dyDescent="0.3">
      <c r="A167" s="1">
        <v>40103</v>
      </c>
      <c r="B167" s="1">
        <v>2985</v>
      </c>
      <c r="C167" s="1">
        <v>262</v>
      </c>
      <c r="D167" s="1">
        <v>12</v>
      </c>
      <c r="E167" s="1">
        <v>2</v>
      </c>
      <c r="F167" s="1">
        <v>0</v>
      </c>
      <c r="G167" s="1">
        <v>3261</v>
      </c>
      <c r="H167" s="3">
        <v>-1.7370226383209229</v>
      </c>
      <c r="I167" t="s">
        <v>3</v>
      </c>
    </row>
    <row r="168" spans="1:9" x14ac:dyDescent="0.3">
      <c r="A168" s="1">
        <v>40104</v>
      </c>
      <c r="B168" s="1">
        <v>1284</v>
      </c>
      <c r="C168" s="1">
        <v>1595</v>
      </c>
      <c r="D168" s="1">
        <v>546</v>
      </c>
      <c r="E168" s="1">
        <v>32</v>
      </c>
      <c r="F168" s="1">
        <v>3</v>
      </c>
      <c r="G168" s="1">
        <v>3460</v>
      </c>
      <c r="H168" s="3">
        <v>-0.76678323745727539</v>
      </c>
      <c r="I168" t="s">
        <v>5</v>
      </c>
    </row>
    <row r="169" spans="1:9" x14ac:dyDescent="0.3">
      <c r="A169" s="1">
        <v>40201</v>
      </c>
      <c r="B169" s="1">
        <v>4178</v>
      </c>
      <c r="C169" s="1">
        <v>2705</v>
      </c>
      <c r="D169" s="1">
        <v>1894</v>
      </c>
      <c r="E169" s="1">
        <v>706</v>
      </c>
      <c r="F169" s="1">
        <v>186</v>
      </c>
      <c r="G169" s="1">
        <v>9669</v>
      </c>
      <c r="H169" s="3">
        <v>-0.7349434494972229</v>
      </c>
      <c r="I169" t="s">
        <v>5</v>
      </c>
    </row>
    <row r="170" spans="1:9" x14ac:dyDescent="0.3">
      <c r="A170" s="1">
        <v>40202</v>
      </c>
      <c r="B170" s="1">
        <v>650</v>
      </c>
      <c r="C170" s="1">
        <v>520</v>
      </c>
      <c r="D170" s="1">
        <v>330</v>
      </c>
      <c r="E170" s="1">
        <v>50</v>
      </c>
      <c r="F170" s="1">
        <v>5</v>
      </c>
      <c r="G170" s="1">
        <v>1555</v>
      </c>
      <c r="H170" s="3">
        <v>-0.78481680154800415</v>
      </c>
      <c r="I170" t="s">
        <v>5</v>
      </c>
    </row>
    <row r="171" spans="1:9" x14ac:dyDescent="0.3">
      <c r="A171" s="1">
        <v>40301</v>
      </c>
      <c r="B171" s="1">
        <v>2382</v>
      </c>
      <c r="C171" s="1">
        <v>580</v>
      </c>
      <c r="D171" s="1">
        <v>172</v>
      </c>
      <c r="E171" s="1">
        <v>33</v>
      </c>
      <c r="F171" s="1">
        <v>5</v>
      </c>
      <c r="G171" s="1">
        <v>3172</v>
      </c>
      <c r="H171" s="3">
        <v>-1.4271976947784424</v>
      </c>
      <c r="I171" t="s">
        <v>3</v>
      </c>
    </row>
    <row r="172" spans="1:9" x14ac:dyDescent="0.3">
      <c r="A172" s="1">
        <v>40302</v>
      </c>
      <c r="B172" s="1">
        <v>413</v>
      </c>
      <c r="C172" s="1">
        <v>78</v>
      </c>
      <c r="D172" s="1">
        <v>22</v>
      </c>
      <c r="E172" s="1">
        <v>3</v>
      </c>
      <c r="F172" s="1">
        <v>0</v>
      </c>
      <c r="G172" s="1">
        <v>516</v>
      </c>
      <c r="H172" s="3">
        <v>-1.523512601852417</v>
      </c>
      <c r="I172" t="s">
        <v>3</v>
      </c>
    </row>
    <row r="173" spans="1:9" x14ac:dyDescent="0.3">
      <c r="A173" s="1">
        <v>40401</v>
      </c>
      <c r="B173" s="1">
        <v>751</v>
      </c>
      <c r="C173" s="1">
        <v>300</v>
      </c>
      <c r="D173" s="1">
        <v>201</v>
      </c>
      <c r="E173" s="1">
        <v>84</v>
      </c>
      <c r="F173" s="1">
        <v>19</v>
      </c>
      <c r="G173" s="1">
        <v>1355</v>
      </c>
      <c r="H173" s="3">
        <v>-1.0045744180679321</v>
      </c>
      <c r="I173" t="s">
        <v>4</v>
      </c>
    </row>
    <row r="174" spans="1:9" x14ac:dyDescent="0.3">
      <c r="A174" s="1">
        <v>40402</v>
      </c>
      <c r="B174" s="1">
        <v>1021</v>
      </c>
      <c r="C174" s="1">
        <v>261</v>
      </c>
      <c r="D174" s="1">
        <v>179</v>
      </c>
      <c r="E174" s="1">
        <v>68</v>
      </c>
      <c r="F174" s="1">
        <v>27</v>
      </c>
      <c r="G174" s="1">
        <v>1556</v>
      </c>
      <c r="H174" s="3">
        <v>-1.1689810752868652</v>
      </c>
      <c r="I174" t="s">
        <v>4</v>
      </c>
    </row>
    <row r="175" spans="1:9" x14ac:dyDescent="0.3">
      <c r="A175" s="1">
        <v>40501</v>
      </c>
      <c r="B175" s="1">
        <v>8</v>
      </c>
      <c r="C175" s="1">
        <v>109</v>
      </c>
      <c r="D175" s="1">
        <v>125</v>
      </c>
      <c r="E175" s="1">
        <v>74</v>
      </c>
      <c r="F175" s="1">
        <v>33</v>
      </c>
      <c r="G175" s="1">
        <v>349</v>
      </c>
      <c r="H175" s="3">
        <v>0.22665984928607941</v>
      </c>
      <c r="I175" t="s">
        <v>1</v>
      </c>
    </row>
    <row r="176" spans="1:9" x14ac:dyDescent="0.3">
      <c r="A176" s="1">
        <v>40502</v>
      </c>
      <c r="B176" s="1">
        <v>760</v>
      </c>
      <c r="C176" s="1">
        <v>285</v>
      </c>
      <c r="D176" s="1">
        <v>34</v>
      </c>
      <c r="E176" s="1">
        <v>3</v>
      </c>
      <c r="F176" s="1">
        <v>0</v>
      </c>
      <c r="G176" s="1">
        <v>1082</v>
      </c>
      <c r="H176" s="3">
        <v>-1.4023491144180298</v>
      </c>
      <c r="I176" t="s">
        <v>3</v>
      </c>
    </row>
    <row r="177" spans="1:9" x14ac:dyDescent="0.3">
      <c r="A177" s="1">
        <v>40503</v>
      </c>
      <c r="B177" s="1">
        <v>305</v>
      </c>
      <c r="C177" s="1">
        <v>230</v>
      </c>
      <c r="D177" s="1">
        <v>43</v>
      </c>
      <c r="E177" s="1">
        <v>5</v>
      </c>
      <c r="F177" s="1">
        <v>1</v>
      </c>
      <c r="G177" s="1">
        <v>584</v>
      </c>
      <c r="H177" s="3">
        <v>-1.0701115131378174</v>
      </c>
      <c r="I177" t="s">
        <v>4</v>
      </c>
    </row>
    <row r="178" spans="1:9" x14ac:dyDescent="0.3">
      <c r="A178" s="1">
        <v>40504</v>
      </c>
      <c r="B178" s="1">
        <v>105</v>
      </c>
      <c r="C178" s="1">
        <v>61</v>
      </c>
      <c r="D178" s="1">
        <v>1</v>
      </c>
      <c r="E178" s="1">
        <v>2</v>
      </c>
      <c r="F178" s="1">
        <v>0</v>
      </c>
      <c r="G178" s="1">
        <v>169</v>
      </c>
      <c r="H178" s="3">
        <v>-1.2509267330169678</v>
      </c>
      <c r="I178" t="s">
        <v>4</v>
      </c>
    </row>
    <row r="179" spans="1:9" x14ac:dyDescent="0.3">
      <c r="A179" s="1">
        <v>40505</v>
      </c>
      <c r="B179" s="1">
        <v>212</v>
      </c>
      <c r="C179" s="1">
        <v>344</v>
      </c>
      <c r="D179" s="1">
        <v>121</v>
      </c>
      <c r="E179" s="1">
        <v>42</v>
      </c>
      <c r="F179" s="1">
        <v>0</v>
      </c>
      <c r="G179" s="1">
        <v>719</v>
      </c>
      <c r="H179" s="3">
        <v>-0.63416820764541626</v>
      </c>
      <c r="I179" t="s">
        <v>2</v>
      </c>
    </row>
    <row r="180" spans="1:9" x14ac:dyDescent="0.3">
      <c r="A180" s="1">
        <v>40601</v>
      </c>
      <c r="B180" s="1">
        <v>1329</v>
      </c>
      <c r="C180" s="1">
        <v>633</v>
      </c>
      <c r="D180" s="1">
        <v>569</v>
      </c>
      <c r="E180" s="1">
        <v>241</v>
      </c>
      <c r="F180" s="1">
        <v>67</v>
      </c>
      <c r="G180" s="1">
        <v>2839</v>
      </c>
      <c r="H180" s="3">
        <v>-0.73812276124954224</v>
      </c>
      <c r="I180" t="s">
        <v>5</v>
      </c>
    </row>
    <row r="181" spans="1:9" x14ac:dyDescent="0.3">
      <c r="A181" s="1">
        <v>40602</v>
      </c>
      <c r="B181" s="1">
        <v>623</v>
      </c>
      <c r="C181" s="1">
        <v>758</v>
      </c>
      <c r="D181" s="1">
        <v>713</v>
      </c>
      <c r="E181" s="1">
        <v>83</v>
      </c>
      <c r="F181" s="1">
        <v>8</v>
      </c>
      <c r="G181" s="1">
        <v>2185</v>
      </c>
      <c r="H181" s="3">
        <v>-0.49619570374488831</v>
      </c>
      <c r="I181" t="s">
        <v>2</v>
      </c>
    </row>
    <row r="182" spans="1:9" x14ac:dyDescent="0.3">
      <c r="A182" s="1">
        <v>40603</v>
      </c>
      <c r="B182" s="1">
        <v>359</v>
      </c>
      <c r="C182" s="1">
        <v>285</v>
      </c>
      <c r="D182" s="1">
        <v>262</v>
      </c>
      <c r="E182" s="1">
        <v>164</v>
      </c>
      <c r="F182" s="1">
        <v>88</v>
      </c>
      <c r="G182" s="1">
        <v>1158</v>
      </c>
      <c r="H182" s="3">
        <v>-0.36460205912590027</v>
      </c>
      <c r="I182" t="s">
        <v>2</v>
      </c>
    </row>
    <row r="183" spans="1:9" x14ac:dyDescent="0.3">
      <c r="A183" s="1">
        <v>40701</v>
      </c>
      <c r="B183" s="1">
        <v>917</v>
      </c>
      <c r="C183" s="1">
        <v>904</v>
      </c>
      <c r="D183" s="1">
        <v>2757</v>
      </c>
      <c r="E183" s="1">
        <v>1869</v>
      </c>
      <c r="F183" s="1">
        <v>742</v>
      </c>
      <c r="G183" s="1">
        <v>7189</v>
      </c>
      <c r="H183" s="3">
        <v>0.17510198056697845</v>
      </c>
      <c r="I183" t="s">
        <v>1</v>
      </c>
    </row>
    <row r="184" spans="1:9" x14ac:dyDescent="0.3">
      <c r="A184" s="1">
        <v>40702</v>
      </c>
      <c r="B184" s="1">
        <v>375</v>
      </c>
      <c r="C184" s="1">
        <v>510</v>
      </c>
      <c r="D184" s="1">
        <v>512</v>
      </c>
      <c r="E184" s="1">
        <v>147</v>
      </c>
      <c r="F184" s="1">
        <v>14</v>
      </c>
      <c r="G184" s="1">
        <v>1558</v>
      </c>
      <c r="H184" s="3">
        <v>-0.34035542607307434</v>
      </c>
      <c r="I184" t="s">
        <v>2</v>
      </c>
    </row>
    <row r="185" spans="1:9" x14ac:dyDescent="0.3">
      <c r="A185" s="1">
        <v>40801</v>
      </c>
      <c r="B185" s="1">
        <v>1762</v>
      </c>
      <c r="C185" s="1">
        <v>1695</v>
      </c>
      <c r="D185" s="1">
        <v>384</v>
      </c>
      <c r="E185" s="1">
        <v>72</v>
      </c>
      <c r="F185" s="1">
        <v>14</v>
      </c>
      <c r="G185" s="1">
        <v>3927</v>
      </c>
      <c r="H185" s="3">
        <v>-0.91683447360992432</v>
      </c>
      <c r="I185" t="s">
        <v>5</v>
      </c>
    </row>
    <row r="186" spans="1:9" x14ac:dyDescent="0.3">
      <c r="A186" s="1">
        <v>40802</v>
      </c>
      <c r="B186" s="1">
        <v>586</v>
      </c>
      <c r="C186" s="1">
        <v>349</v>
      </c>
      <c r="D186" s="1">
        <v>86</v>
      </c>
      <c r="E186" s="1">
        <v>18</v>
      </c>
      <c r="F186" s="1">
        <v>1</v>
      </c>
      <c r="G186" s="1">
        <v>1040</v>
      </c>
      <c r="H186" s="3">
        <v>-1.0984319448471069</v>
      </c>
      <c r="I186" t="s">
        <v>4</v>
      </c>
    </row>
    <row r="187" spans="1:9" x14ac:dyDescent="0.3">
      <c r="A187" s="1">
        <v>40901</v>
      </c>
      <c r="B187" s="1">
        <v>968</v>
      </c>
      <c r="C187" s="1">
        <v>960</v>
      </c>
      <c r="D187" s="1">
        <v>257</v>
      </c>
      <c r="E187" s="1">
        <v>51</v>
      </c>
      <c r="F187" s="1">
        <v>11</v>
      </c>
      <c r="G187" s="1">
        <v>2247</v>
      </c>
      <c r="H187" s="3">
        <v>-0.88479924201965332</v>
      </c>
      <c r="I187" t="s">
        <v>5</v>
      </c>
    </row>
    <row r="188" spans="1:9" x14ac:dyDescent="0.3">
      <c r="A188" s="1">
        <v>40902</v>
      </c>
      <c r="B188" s="1">
        <v>52</v>
      </c>
      <c r="C188" s="1">
        <v>153</v>
      </c>
      <c r="D188" s="1">
        <v>45</v>
      </c>
      <c r="E188" s="1">
        <v>3</v>
      </c>
      <c r="F188" s="1">
        <v>0</v>
      </c>
      <c r="G188" s="1">
        <v>253</v>
      </c>
      <c r="H188" s="3">
        <v>-0.56206482648849487</v>
      </c>
      <c r="I188" t="s">
        <v>2</v>
      </c>
    </row>
    <row r="189" spans="1:9" x14ac:dyDescent="0.3">
      <c r="A189" s="1">
        <v>40903</v>
      </c>
      <c r="B189" s="1">
        <v>345</v>
      </c>
      <c r="C189" s="1">
        <v>198</v>
      </c>
      <c r="D189" s="1">
        <v>42</v>
      </c>
      <c r="E189" s="1">
        <v>4</v>
      </c>
      <c r="F189" s="1">
        <v>1</v>
      </c>
      <c r="G189" s="1">
        <v>590</v>
      </c>
      <c r="H189" s="3">
        <v>-1.1410118341445923</v>
      </c>
      <c r="I189" t="s">
        <v>4</v>
      </c>
    </row>
    <row r="190" spans="1:9" x14ac:dyDescent="0.3">
      <c r="A190" s="1">
        <v>41001</v>
      </c>
      <c r="B190" s="1">
        <v>3608</v>
      </c>
      <c r="C190" s="1">
        <v>531</v>
      </c>
      <c r="D190" s="1">
        <v>155</v>
      </c>
      <c r="E190" s="1">
        <v>33</v>
      </c>
      <c r="F190" s="1">
        <v>4</v>
      </c>
      <c r="G190" s="1">
        <v>4331</v>
      </c>
      <c r="H190" s="3">
        <v>-1.5966076850891113</v>
      </c>
      <c r="I190" t="s">
        <v>3</v>
      </c>
    </row>
    <row r="191" spans="1:9" x14ac:dyDescent="0.3">
      <c r="A191" s="1">
        <v>41101</v>
      </c>
      <c r="B191" s="1">
        <v>516</v>
      </c>
      <c r="C191" s="1">
        <v>746</v>
      </c>
      <c r="D191" s="1">
        <v>509</v>
      </c>
      <c r="E191" s="1">
        <v>112</v>
      </c>
      <c r="F191" s="1">
        <v>15</v>
      </c>
      <c r="G191" s="1">
        <v>1898</v>
      </c>
      <c r="H191" s="3">
        <v>-0.48418143391609192</v>
      </c>
      <c r="I191" t="s">
        <v>2</v>
      </c>
    </row>
    <row r="192" spans="1:9" x14ac:dyDescent="0.3">
      <c r="A192" s="1">
        <v>41201</v>
      </c>
      <c r="B192" s="1">
        <v>1406</v>
      </c>
      <c r="C192" s="1">
        <v>467</v>
      </c>
      <c r="D192" s="1">
        <v>108</v>
      </c>
      <c r="E192" s="1">
        <v>8</v>
      </c>
      <c r="F192" s="1">
        <v>3</v>
      </c>
      <c r="G192" s="1">
        <v>1992</v>
      </c>
      <c r="H192" s="3">
        <v>-1.3917632102966309</v>
      </c>
      <c r="I192" t="s">
        <v>3</v>
      </c>
    </row>
    <row r="193" spans="1:9" x14ac:dyDescent="0.3">
      <c r="A193" s="1">
        <v>41202</v>
      </c>
      <c r="B193" s="1">
        <v>501</v>
      </c>
      <c r="C193" s="1">
        <v>211</v>
      </c>
      <c r="D193" s="1">
        <v>15</v>
      </c>
      <c r="E193" s="1">
        <v>1</v>
      </c>
      <c r="F193" s="1">
        <v>0</v>
      </c>
      <c r="G193" s="1">
        <v>728</v>
      </c>
      <c r="H193" s="3">
        <v>-1.3451884984970093</v>
      </c>
      <c r="I193" t="s">
        <v>3</v>
      </c>
    </row>
    <row r="194" spans="1:9" x14ac:dyDescent="0.3">
      <c r="A194" s="1">
        <v>41301</v>
      </c>
      <c r="B194" s="1">
        <v>1549</v>
      </c>
      <c r="C194" s="1">
        <v>279</v>
      </c>
      <c r="D194" s="1">
        <v>54</v>
      </c>
      <c r="E194" s="1">
        <v>3</v>
      </c>
      <c r="F194" s="1">
        <v>1</v>
      </c>
      <c r="G194" s="1">
        <v>1886</v>
      </c>
      <c r="H194" s="3">
        <v>-1.5792214870452881</v>
      </c>
      <c r="I194" t="s">
        <v>3</v>
      </c>
    </row>
    <row r="195" spans="1:9" x14ac:dyDescent="0.3">
      <c r="A195" s="1">
        <v>41401</v>
      </c>
      <c r="B195" s="1">
        <v>2315</v>
      </c>
      <c r="C195" s="1">
        <v>1136</v>
      </c>
      <c r="D195" s="1">
        <v>797</v>
      </c>
      <c r="E195" s="1">
        <v>200</v>
      </c>
      <c r="F195" s="1">
        <v>58</v>
      </c>
      <c r="G195" s="1">
        <v>4506</v>
      </c>
      <c r="H195" s="3">
        <v>-0.93289214372634888</v>
      </c>
      <c r="I195" t="s">
        <v>5</v>
      </c>
    </row>
    <row r="196" spans="1:9" x14ac:dyDescent="0.3">
      <c r="A196" s="1">
        <v>41501</v>
      </c>
      <c r="B196" s="1">
        <v>130</v>
      </c>
      <c r="C196" s="1">
        <v>23</v>
      </c>
      <c r="D196" s="1">
        <v>15</v>
      </c>
      <c r="E196" s="1">
        <v>5</v>
      </c>
      <c r="F196" s="1">
        <v>8</v>
      </c>
      <c r="G196" s="1">
        <v>181</v>
      </c>
      <c r="H196" s="3">
        <v>-1.3378334045410156</v>
      </c>
      <c r="I196" t="s">
        <v>3</v>
      </c>
    </row>
    <row r="197" spans="1:9" x14ac:dyDescent="0.3">
      <c r="A197" s="1">
        <v>41502</v>
      </c>
      <c r="B197" s="1">
        <v>139</v>
      </c>
      <c r="C197" s="1">
        <v>39</v>
      </c>
      <c r="D197" s="1">
        <v>14</v>
      </c>
      <c r="E197" s="1">
        <v>1</v>
      </c>
      <c r="F197" s="1">
        <v>0</v>
      </c>
      <c r="G197" s="1">
        <v>193</v>
      </c>
      <c r="H197" s="3">
        <v>-1.4767962694168091</v>
      </c>
      <c r="I197" t="s">
        <v>3</v>
      </c>
    </row>
    <row r="198" spans="1:9" x14ac:dyDescent="0.3">
      <c r="A198" s="1">
        <v>41503</v>
      </c>
      <c r="B198" s="1">
        <v>219</v>
      </c>
      <c r="C198" s="1">
        <v>22</v>
      </c>
      <c r="D198" s="1">
        <v>4</v>
      </c>
      <c r="E198" s="1">
        <v>0</v>
      </c>
      <c r="F198" s="1">
        <v>0</v>
      </c>
      <c r="G198" s="1">
        <v>245</v>
      </c>
      <c r="H198" s="3">
        <v>-1.7365148067474365</v>
      </c>
      <c r="I198" t="s">
        <v>3</v>
      </c>
    </row>
    <row r="199" spans="1:9" x14ac:dyDescent="0.3">
      <c r="A199" s="1">
        <v>41601</v>
      </c>
      <c r="B199" s="1">
        <v>1717</v>
      </c>
      <c r="C199" s="1">
        <v>462</v>
      </c>
      <c r="D199" s="1">
        <v>67</v>
      </c>
      <c r="E199" s="1">
        <v>4</v>
      </c>
      <c r="F199" s="1">
        <v>4</v>
      </c>
      <c r="G199" s="1">
        <v>2254</v>
      </c>
      <c r="H199" s="3">
        <v>-1.4842023849487305</v>
      </c>
      <c r="I199" t="s">
        <v>3</v>
      </c>
    </row>
    <row r="200" spans="1:9" x14ac:dyDescent="0.3">
      <c r="A200" s="1">
        <v>50101</v>
      </c>
      <c r="B200" s="1">
        <v>2637</v>
      </c>
      <c r="C200" s="1">
        <v>5535</v>
      </c>
      <c r="D200" s="1">
        <v>14298</v>
      </c>
      <c r="E200" s="1">
        <v>17528</v>
      </c>
      <c r="F200" s="1">
        <v>11608</v>
      </c>
      <c r="G200" s="1">
        <v>51606</v>
      </c>
      <c r="H200" s="3">
        <v>0.46148386597633362</v>
      </c>
      <c r="I200" t="s">
        <v>1</v>
      </c>
    </row>
    <row r="201" spans="1:9" x14ac:dyDescent="0.3">
      <c r="A201" s="1">
        <v>50102</v>
      </c>
      <c r="B201" s="1">
        <v>5950</v>
      </c>
      <c r="C201" s="1">
        <v>1383</v>
      </c>
      <c r="D201" s="1">
        <v>172</v>
      </c>
      <c r="E201" s="1">
        <v>35</v>
      </c>
      <c r="F201" s="1">
        <v>5</v>
      </c>
      <c r="G201" s="1">
        <v>7545</v>
      </c>
      <c r="H201" s="3">
        <v>-1.4446758031845093</v>
      </c>
      <c r="I201" t="s">
        <v>3</v>
      </c>
    </row>
    <row r="202" spans="1:9" x14ac:dyDescent="0.3">
      <c r="A202" s="1">
        <v>50103</v>
      </c>
      <c r="B202" s="1">
        <v>611</v>
      </c>
      <c r="C202" s="1">
        <v>1525</v>
      </c>
      <c r="D202" s="1">
        <v>584</v>
      </c>
      <c r="E202" s="1">
        <v>159</v>
      </c>
      <c r="F202" s="1">
        <v>37</v>
      </c>
      <c r="G202" s="1">
        <v>2916</v>
      </c>
      <c r="H202" s="3">
        <v>-0.48065271973609924</v>
      </c>
      <c r="I202" t="s">
        <v>2</v>
      </c>
    </row>
    <row r="203" spans="1:9" x14ac:dyDescent="0.3">
      <c r="A203" s="1">
        <v>50104</v>
      </c>
      <c r="B203" s="1">
        <v>795</v>
      </c>
      <c r="C203" s="1">
        <v>277</v>
      </c>
      <c r="D203" s="1">
        <v>27</v>
      </c>
      <c r="E203" s="1">
        <v>2</v>
      </c>
      <c r="F203" s="1">
        <v>1</v>
      </c>
      <c r="G203" s="1">
        <v>1102</v>
      </c>
      <c r="H203" s="3">
        <v>-1.4644714593887329</v>
      </c>
      <c r="I203" t="s">
        <v>3</v>
      </c>
    </row>
    <row r="204" spans="1:9" x14ac:dyDescent="0.3">
      <c r="A204" s="1">
        <v>50201</v>
      </c>
      <c r="B204" s="1">
        <v>2057</v>
      </c>
      <c r="C204" s="1">
        <v>2550</v>
      </c>
      <c r="D204" s="1">
        <v>1245</v>
      </c>
      <c r="E204" s="1">
        <v>605</v>
      </c>
      <c r="F204" s="1">
        <v>163</v>
      </c>
      <c r="G204" s="1">
        <v>6620</v>
      </c>
      <c r="H204" s="3">
        <v>-0.52442830801010132</v>
      </c>
      <c r="I204" t="s">
        <v>2</v>
      </c>
    </row>
    <row r="205" spans="1:9" x14ac:dyDescent="0.3">
      <c r="A205" s="1">
        <v>50202</v>
      </c>
      <c r="B205" s="1">
        <v>1694</v>
      </c>
      <c r="C205" s="1">
        <v>2127</v>
      </c>
      <c r="D205" s="1">
        <v>662</v>
      </c>
      <c r="E205" s="1">
        <v>155</v>
      </c>
      <c r="F205" s="1">
        <v>29</v>
      </c>
      <c r="G205" s="1">
        <v>4667</v>
      </c>
      <c r="H205" s="3">
        <v>-0.71896219253540039</v>
      </c>
      <c r="I205" t="s">
        <v>5</v>
      </c>
    </row>
    <row r="206" spans="1:9" x14ac:dyDescent="0.3">
      <c r="A206" s="1">
        <v>50203</v>
      </c>
      <c r="B206" s="1">
        <v>1769</v>
      </c>
      <c r="C206" s="1">
        <v>3074</v>
      </c>
      <c r="D206" s="1">
        <v>4337</v>
      </c>
      <c r="E206" s="1">
        <v>2426</v>
      </c>
      <c r="F206" s="1">
        <v>803</v>
      </c>
      <c r="G206" s="1">
        <v>12409</v>
      </c>
      <c r="H206" s="3">
        <v>6.4229066483676434E-3</v>
      </c>
      <c r="I206" t="s">
        <v>1</v>
      </c>
    </row>
    <row r="207" spans="1:9" x14ac:dyDescent="0.3">
      <c r="A207" s="1">
        <v>50204</v>
      </c>
      <c r="B207" s="1">
        <v>1188</v>
      </c>
      <c r="C207" s="1">
        <v>707</v>
      </c>
      <c r="D207" s="1">
        <v>281</v>
      </c>
      <c r="E207" s="1">
        <v>79</v>
      </c>
      <c r="F207" s="1">
        <v>14</v>
      </c>
      <c r="G207" s="1">
        <v>2269</v>
      </c>
      <c r="H207" s="3">
        <v>-0.92655003070831299</v>
      </c>
      <c r="I207" t="s">
        <v>5</v>
      </c>
    </row>
    <row r="208" spans="1:9" x14ac:dyDescent="0.3">
      <c r="A208" s="1">
        <v>50301</v>
      </c>
      <c r="B208" s="1">
        <v>3905</v>
      </c>
      <c r="C208" s="1">
        <v>3782</v>
      </c>
      <c r="D208" s="1">
        <v>1340</v>
      </c>
      <c r="E208" s="1">
        <v>492</v>
      </c>
      <c r="F208" s="1">
        <v>202</v>
      </c>
      <c r="G208" s="1">
        <v>9721</v>
      </c>
      <c r="H208" s="3">
        <v>-0.75588548183441162</v>
      </c>
      <c r="I208" t="s">
        <v>5</v>
      </c>
    </row>
    <row r="209" spans="1:9" x14ac:dyDescent="0.3">
      <c r="A209" s="1">
        <v>50302</v>
      </c>
      <c r="B209" s="1">
        <v>1346</v>
      </c>
      <c r="C209" s="1">
        <v>1476</v>
      </c>
      <c r="D209" s="1">
        <v>291</v>
      </c>
      <c r="E209" s="1">
        <v>79</v>
      </c>
      <c r="F209" s="1">
        <v>30</v>
      </c>
      <c r="G209" s="1">
        <v>3222</v>
      </c>
      <c r="H209" s="3">
        <v>-0.84416401386260986</v>
      </c>
      <c r="I209" t="s">
        <v>5</v>
      </c>
    </row>
    <row r="210" spans="1:9" x14ac:dyDescent="0.3">
      <c r="A210" s="1">
        <v>50303</v>
      </c>
      <c r="B210" s="1">
        <v>3260</v>
      </c>
      <c r="C210" s="1">
        <v>550</v>
      </c>
      <c r="D210" s="1">
        <v>84</v>
      </c>
      <c r="E210" s="1">
        <v>3</v>
      </c>
      <c r="F210" s="1">
        <v>0</v>
      </c>
      <c r="G210" s="1">
        <v>3897</v>
      </c>
      <c r="H210" s="3">
        <v>-1.5987709760665894</v>
      </c>
      <c r="I210" t="s">
        <v>3</v>
      </c>
    </row>
    <row r="211" spans="1:9" x14ac:dyDescent="0.3">
      <c r="A211" s="1">
        <v>50401</v>
      </c>
      <c r="B211" s="1">
        <v>7006</v>
      </c>
      <c r="C211" s="1">
        <v>2666</v>
      </c>
      <c r="D211" s="1">
        <v>711</v>
      </c>
      <c r="E211" s="1">
        <v>215</v>
      </c>
      <c r="F211" s="1">
        <v>52</v>
      </c>
      <c r="G211" s="1">
        <v>10650</v>
      </c>
      <c r="H211" s="3">
        <v>-1.210940957069397</v>
      </c>
      <c r="I211" t="s">
        <v>4</v>
      </c>
    </row>
    <row r="212" spans="1:9" x14ac:dyDescent="0.3">
      <c r="A212" s="1">
        <v>50402</v>
      </c>
      <c r="B212" s="1">
        <v>4928</v>
      </c>
      <c r="C212" s="1">
        <v>1270</v>
      </c>
      <c r="D212" s="1">
        <v>272</v>
      </c>
      <c r="E212" s="1">
        <v>79</v>
      </c>
      <c r="F212" s="1">
        <v>15</v>
      </c>
      <c r="G212" s="1">
        <v>6564</v>
      </c>
      <c r="H212" s="3">
        <v>-1.3432378768920898</v>
      </c>
      <c r="I212" t="s">
        <v>3</v>
      </c>
    </row>
    <row r="213" spans="1:9" x14ac:dyDescent="0.3">
      <c r="A213" s="1">
        <v>50403</v>
      </c>
      <c r="B213" s="1">
        <v>6019</v>
      </c>
      <c r="C213" s="1">
        <v>1954</v>
      </c>
      <c r="D213" s="1">
        <v>350</v>
      </c>
      <c r="E213" s="1">
        <v>90</v>
      </c>
      <c r="F213" s="1">
        <v>23</v>
      </c>
      <c r="G213" s="1">
        <v>8436</v>
      </c>
      <c r="H213" s="3">
        <v>-1.3072277307510376</v>
      </c>
      <c r="I213" t="s">
        <v>3</v>
      </c>
    </row>
    <row r="214" spans="1:9" x14ac:dyDescent="0.3">
      <c r="A214" s="1">
        <v>50404</v>
      </c>
      <c r="B214" s="1">
        <v>3812</v>
      </c>
      <c r="C214" s="1">
        <v>995</v>
      </c>
      <c r="D214" s="1">
        <v>226</v>
      </c>
      <c r="E214" s="1">
        <v>55</v>
      </c>
      <c r="F214" s="1">
        <v>5</v>
      </c>
      <c r="G214" s="1">
        <v>5093</v>
      </c>
      <c r="H214" s="3">
        <v>-1.3761776685714722</v>
      </c>
      <c r="I214" t="s">
        <v>3</v>
      </c>
    </row>
    <row r="215" spans="1:9" x14ac:dyDescent="0.3">
      <c r="A215" s="1">
        <v>50501</v>
      </c>
      <c r="B215" s="1">
        <v>6918</v>
      </c>
      <c r="C215" s="1">
        <v>989</v>
      </c>
      <c r="D215" s="1">
        <v>254</v>
      </c>
      <c r="E215" s="1">
        <v>85</v>
      </c>
      <c r="F215" s="1">
        <v>31</v>
      </c>
      <c r="G215" s="1">
        <v>8277</v>
      </c>
      <c r="H215" s="3">
        <v>-1.5588090419769287</v>
      </c>
      <c r="I215" t="s">
        <v>3</v>
      </c>
    </row>
    <row r="216" spans="1:9" x14ac:dyDescent="0.3">
      <c r="A216" s="1">
        <v>50502</v>
      </c>
      <c r="B216" s="1">
        <v>2436</v>
      </c>
      <c r="C216" s="1">
        <v>772</v>
      </c>
      <c r="D216" s="1">
        <v>184</v>
      </c>
      <c r="E216" s="1">
        <v>80</v>
      </c>
      <c r="F216" s="1">
        <v>39</v>
      </c>
      <c r="G216" s="1">
        <v>3511</v>
      </c>
      <c r="H216" s="3">
        <v>-1.2919762134552002</v>
      </c>
      <c r="I216" t="s">
        <v>3</v>
      </c>
    </row>
    <row r="217" spans="1:9" x14ac:dyDescent="0.3">
      <c r="A217" s="1">
        <v>50601</v>
      </c>
      <c r="B217" s="1">
        <v>5340</v>
      </c>
      <c r="C217" s="1">
        <v>2637</v>
      </c>
      <c r="D217" s="1">
        <v>970</v>
      </c>
      <c r="E217" s="1">
        <v>319</v>
      </c>
      <c r="F217" s="1">
        <v>205</v>
      </c>
      <c r="G217" s="1">
        <v>9471</v>
      </c>
      <c r="H217" s="3">
        <v>-1.0358713865280151</v>
      </c>
      <c r="I217" t="s">
        <v>4</v>
      </c>
    </row>
    <row r="218" spans="1:9" x14ac:dyDescent="0.3">
      <c r="A218" s="1">
        <v>50602</v>
      </c>
      <c r="B218" s="1">
        <v>1627</v>
      </c>
      <c r="C218" s="1">
        <v>1263</v>
      </c>
      <c r="D218" s="1">
        <v>163</v>
      </c>
      <c r="E218" s="1">
        <v>59</v>
      </c>
      <c r="F218" s="1">
        <v>12</v>
      </c>
      <c r="G218" s="1">
        <v>3124</v>
      </c>
      <c r="H218" s="3">
        <v>-1.0744465589523315</v>
      </c>
      <c r="I218" t="s">
        <v>4</v>
      </c>
    </row>
    <row r="219" spans="1:9" x14ac:dyDescent="0.3">
      <c r="A219" s="1">
        <v>50701</v>
      </c>
      <c r="B219" s="1">
        <v>3343</v>
      </c>
      <c r="C219" s="1">
        <v>1742</v>
      </c>
      <c r="D219" s="1">
        <v>392</v>
      </c>
      <c r="E219" s="1">
        <v>115</v>
      </c>
      <c r="F219" s="1">
        <v>26</v>
      </c>
      <c r="G219" s="1">
        <v>5618</v>
      </c>
      <c r="H219" s="3">
        <v>-1.0952540636062622</v>
      </c>
      <c r="I219" t="s">
        <v>4</v>
      </c>
    </row>
    <row r="220" spans="1:9" x14ac:dyDescent="0.3">
      <c r="A220" s="1">
        <v>50702</v>
      </c>
      <c r="B220" s="1">
        <v>1666</v>
      </c>
      <c r="C220" s="1">
        <v>886</v>
      </c>
      <c r="D220" s="1">
        <v>146</v>
      </c>
      <c r="E220" s="1">
        <v>34</v>
      </c>
      <c r="F220" s="1">
        <v>9</v>
      </c>
      <c r="G220" s="1">
        <v>2741</v>
      </c>
      <c r="H220" s="3">
        <v>-1.1493127346038818</v>
      </c>
      <c r="I220" t="s">
        <v>4</v>
      </c>
    </row>
    <row r="221" spans="1:9" x14ac:dyDescent="0.3">
      <c r="A221" s="1">
        <v>50801</v>
      </c>
      <c r="B221" s="1">
        <v>2948</v>
      </c>
      <c r="C221" s="1">
        <v>3213</v>
      </c>
      <c r="D221" s="1">
        <v>2896</v>
      </c>
      <c r="E221" s="1">
        <v>2506</v>
      </c>
      <c r="F221" s="1">
        <v>1756</v>
      </c>
      <c r="G221" s="1">
        <v>13319</v>
      </c>
      <c r="H221" s="3">
        <v>-0.13375623524188995</v>
      </c>
      <c r="I221" t="s">
        <v>1</v>
      </c>
    </row>
    <row r="222" spans="1:9" x14ac:dyDescent="0.3">
      <c r="A222" s="1">
        <v>50802</v>
      </c>
      <c r="B222" s="1">
        <v>323</v>
      </c>
      <c r="C222" s="1">
        <v>1110</v>
      </c>
      <c r="D222" s="1">
        <v>1641</v>
      </c>
      <c r="E222" s="1">
        <v>437</v>
      </c>
      <c r="F222" s="1">
        <v>65</v>
      </c>
      <c r="G222" s="1">
        <v>3576</v>
      </c>
      <c r="H222" s="3">
        <v>2.4304180406033993E-3</v>
      </c>
      <c r="I222" t="s">
        <v>1</v>
      </c>
    </row>
    <row r="223" spans="1:9" x14ac:dyDescent="0.3">
      <c r="A223" s="1">
        <v>50901</v>
      </c>
      <c r="B223" s="1">
        <v>1172</v>
      </c>
      <c r="C223" s="1">
        <v>1069</v>
      </c>
      <c r="D223" s="1">
        <v>676</v>
      </c>
      <c r="E223" s="1">
        <v>289</v>
      </c>
      <c r="F223" s="1">
        <v>101</v>
      </c>
      <c r="G223" s="1">
        <v>3307</v>
      </c>
      <c r="H223" s="3">
        <v>-0.58396774530410767</v>
      </c>
      <c r="I223" t="s">
        <v>2</v>
      </c>
    </row>
    <row r="224" spans="1:9" x14ac:dyDescent="0.3">
      <c r="A224" s="1">
        <v>50902</v>
      </c>
      <c r="B224" s="1">
        <v>150</v>
      </c>
      <c r="C224" s="1">
        <v>167</v>
      </c>
      <c r="D224" s="1">
        <v>51</v>
      </c>
      <c r="E224" s="1">
        <v>4</v>
      </c>
      <c r="F224" s="1">
        <v>0</v>
      </c>
      <c r="G224" s="1">
        <v>372</v>
      </c>
      <c r="H224" s="3">
        <v>-0.88632726669311523</v>
      </c>
      <c r="I224" t="s">
        <v>5</v>
      </c>
    </row>
    <row r="225" spans="1:9" x14ac:dyDescent="0.3">
      <c r="A225" s="1">
        <v>51001</v>
      </c>
      <c r="B225" s="1">
        <v>560</v>
      </c>
      <c r="C225" s="1">
        <v>263</v>
      </c>
      <c r="D225" s="1">
        <v>47</v>
      </c>
      <c r="E225" s="1">
        <v>1</v>
      </c>
      <c r="F225" s="1">
        <v>0</v>
      </c>
      <c r="G225" s="1">
        <v>871</v>
      </c>
      <c r="H225" s="3">
        <v>-1.3248631954193115</v>
      </c>
      <c r="I225" t="s">
        <v>3</v>
      </c>
    </row>
    <row r="226" spans="1:9" x14ac:dyDescent="0.3">
      <c r="A226" s="1">
        <v>51002</v>
      </c>
      <c r="B226" s="1">
        <v>296</v>
      </c>
      <c r="C226" s="1">
        <v>50</v>
      </c>
      <c r="D226" s="1">
        <v>7</v>
      </c>
      <c r="E226" s="1">
        <v>3</v>
      </c>
      <c r="F226" s="1">
        <v>2</v>
      </c>
      <c r="G226" s="1">
        <v>358</v>
      </c>
      <c r="H226" s="3">
        <v>-1.6587717533111572</v>
      </c>
      <c r="I226" t="s">
        <v>3</v>
      </c>
    </row>
    <row r="227" spans="1:9" x14ac:dyDescent="0.3">
      <c r="A227" s="1">
        <v>51003</v>
      </c>
      <c r="B227" s="1">
        <v>495</v>
      </c>
      <c r="C227" s="1">
        <v>155</v>
      </c>
      <c r="D227" s="1">
        <v>63</v>
      </c>
      <c r="E227" s="1">
        <v>1</v>
      </c>
      <c r="F227" s="1">
        <v>1</v>
      </c>
      <c r="G227" s="1">
        <v>715</v>
      </c>
      <c r="H227" s="3">
        <v>-1.3675899505615234</v>
      </c>
      <c r="I227" t="s">
        <v>3</v>
      </c>
    </row>
    <row r="228" spans="1:9" x14ac:dyDescent="0.3">
      <c r="A228" s="1">
        <v>51101</v>
      </c>
      <c r="B228" s="1">
        <v>2825</v>
      </c>
      <c r="C228" s="1">
        <v>3360</v>
      </c>
      <c r="D228" s="1">
        <v>689</v>
      </c>
      <c r="E228" s="1">
        <v>186</v>
      </c>
      <c r="F228" s="1">
        <v>43</v>
      </c>
      <c r="G228" s="1">
        <v>7103</v>
      </c>
      <c r="H228" s="3">
        <v>-0.82877987623214722</v>
      </c>
      <c r="I228" t="s">
        <v>5</v>
      </c>
    </row>
    <row r="229" spans="1:9" x14ac:dyDescent="0.3">
      <c r="A229" s="1">
        <v>51102</v>
      </c>
      <c r="B229" s="1">
        <v>1361</v>
      </c>
      <c r="C229" s="1">
        <v>1415</v>
      </c>
      <c r="D229" s="1">
        <v>594</v>
      </c>
      <c r="E229" s="1">
        <v>150</v>
      </c>
      <c r="F229" s="1">
        <v>23</v>
      </c>
      <c r="G229" s="1">
        <v>3543</v>
      </c>
      <c r="H229" s="3">
        <v>-0.74842733144760132</v>
      </c>
      <c r="I229" t="s">
        <v>5</v>
      </c>
    </row>
    <row r="230" spans="1:9" x14ac:dyDescent="0.3">
      <c r="A230" s="1">
        <v>51103</v>
      </c>
      <c r="B230" s="1">
        <v>2915</v>
      </c>
      <c r="C230" s="1">
        <v>762</v>
      </c>
      <c r="D230" s="1">
        <v>135</v>
      </c>
      <c r="E230" s="1">
        <v>13</v>
      </c>
      <c r="F230" s="1">
        <v>1</v>
      </c>
      <c r="G230" s="1">
        <v>3826</v>
      </c>
      <c r="H230" s="3">
        <v>-1.4760228395462036</v>
      </c>
      <c r="I230" t="s">
        <v>3</v>
      </c>
    </row>
    <row r="231" spans="1:9" x14ac:dyDescent="0.3">
      <c r="A231" s="1">
        <v>51201</v>
      </c>
      <c r="B231" s="1">
        <v>2022</v>
      </c>
      <c r="C231" s="1">
        <v>2391</v>
      </c>
      <c r="D231" s="1">
        <v>3647</v>
      </c>
      <c r="E231" s="1">
        <v>1190</v>
      </c>
      <c r="F231" s="1">
        <v>347</v>
      </c>
      <c r="G231" s="1">
        <v>9597</v>
      </c>
      <c r="H231" s="3">
        <v>-0.20480048656463623</v>
      </c>
      <c r="I231" t="s">
        <v>1</v>
      </c>
    </row>
    <row r="232" spans="1:9" x14ac:dyDescent="0.3">
      <c r="A232" s="1">
        <v>51202</v>
      </c>
      <c r="B232" s="1">
        <v>2957</v>
      </c>
      <c r="C232" s="1">
        <v>1797</v>
      </c>
      <c r="D232" s="1">
        <v>419</v>
      </c>
      <c r="E232" s="1">
        <v>40</v>
      </c>
      <c r="F232" s="1">
        <v>3</v>
      </c>
      <c r="G232" s="1">
        <v>5216</v>
      </c>
      <c r="H232" s="3">
        <v>-1.1296591758728027</v>
      </c>
      <c r="I232" t="s">
        <v>4</v>
      </c>
    </row>
    <row r="233" spans="1:9" x14ac:dyDescent="0.3">
      <c r="A233" s="1">
        <v>51203</v>
      </c>
      <c r="B233" s="1">
        <v>672</v>
      </c>
      <c r="C233" s="1">
        <v>349</v>
      </c>
      <c r="D233" s="1">
        <v>878</v>
      </c>
      <c r="E233" s="1">
        <v>881</v>
      </c>
      <c r="F233" s="1">
        <v>376</v>
      </c>
      <c r="G233" s="1">
        <v>3156</v>
      </c>
      <c r="H233" s="3">
        <v>-7.5828614644706249E-3</v>
      </c>
      <c r="I233" t="s">
        <v>1</v>
      </c>
    </row>
    <row r="234" spans="1:9" x14ac:dyDescent="0.3">
      <c r="A234" s="1">
        <v>51301</v>
      </c>
      <c r="B234" s="1">
        <v>845</v>
      </c>
      <c r="C234" s="1">
        <v>358</v>
      </c>
      <c r="D234" s="1">
        <v>82</v>
      </c>
      <c r="E234" s="1">
        <v>12</v>
      </c>
      <c r="F234" s="1">
        <v>1</v>
      </c>
      <c r="G234" s="1">
        <v>1298</v>
      </c>
      <c r="H234" s="3">
        <v>-1.2058583498001099</v>
      </c>
      <c r="I234" t="s">
        <v>4</v>
      </c>
    </row>
    <row r="235" spans="1:9" x14ac:dyDescent="0.3">
      <c r="A235" s="1">
        <v>51302</v>
      </c>
      <c r="B235" s="1">
        <v>957</v>
      </c>
      <c r="C235" s="1">
        <v>570</v>
      </c>
      <c r="D235" s="1">
        <v>129</v>
      </c>
      <c r="E235" s="1">
        <v>54</v>
      </c>
      <c r="F235" s="1">
        <v>9</v>
      </c>
      <c r="G235" s="1">
        <v>1719</v>
      </c>
      <c r="H235" s="3">
        <v>-1.0665144920349121</v>
      </c>
      <c r="I235" t="s">
        <v>4</v>
      </c>
    </row>
    <row r="236" spans="1:9" x14ac:dyDescent="0.3">
      <c r="A236" s="1">
        <v>51401</v>
      </c>
      <c r="B236" s="1">
        <v>772</v>
      </c>
      <c r="C236" s="1">
        <v>453</v>
      </c>
      <c r="D236" s="1">
        <v>172</v>
      </c>
      <c r="E236" s="1">
        <v>88</v>
      </c>
      <c r="F236" s="1">
        <v>19</v>
      </c>
      <c r="G236" s="1">
        <v>1504</v>
      </c>
      <c r="H236" s="3">
        <v>-0.93093419075012207</v>
      </c>
      <c r="I236" t="s">
        <v>5</v>
      </c>
    </row>
    <row r="237" spans="1:9" x14ac:dyDescent="0.3">
      <c r="A237" s="1">
        <v>51402</v>
      </c>
      <c r="B237" s="1">
        <v>279</v>
      </c>
      <c r="C237" s="1">
        <v>299</v>
      </c>
      <c r="D237" s="1">
        <v>90</v>
      </c>
      <c r="E237" s="1">
        <v>11</v>
      </c>
      <c r="F237" s="1">
        <v>0</v>
      </c>
      <c r="G237" s="1">
        <v>679</v>
      </c>
      <c r="H237" s="3">
        <v>-0.84896892309188843</v>
      </c>
      <c r="I237" t="s">
        <v>5</v>
      </c>
    </row>
    <row r="238" spans="1:9" x14ac:dyDescent="0.3">
      <c r="A238" s="1">
        <v>51501</v>
      </c>
      <c r="B238" s="1">
        <v>1739</v>
      </c>
      <c r="C238" s="1">
        <v>2369</v>
      </c>
      <c r="D238" s="1">
        <v>3973</v>
      </c>
      <c r="E238" s="1">
        <v>2522</v>
      </c>
      <c r="F238" s="1">
        <v>1471</v>
      </c>
      <c r="G238" s="1">
        <v>12074</v>
      </c>
      <c r="H238" s="3">
        <v>6.5928936004638672E-2</v>
      </c>
      <c r="I238" t="s">
        <v>1</v>
      </c>
    </row>
    <row r="239" spans="1:9" x14ac:dyDescent="0.3">
      <c r="A239" s="1">
        <v>51601</v>
      </c>
      <c r="B239" s="1">
        <v>269</v>
      </c>
      <c r="C239" s="1">
        <v>196</v>
      </c>
      <c r="D239" s="1">
        <v>24</v>
      </c>
      <c r="E239" s="1">
        <v>0</v>
      </c>
      <c r="F239" s="1">
        <v>0</v>
      </c>
      <c r="G239" s="1">
        <v>489</v>
      </c>
      <c r="H239" s="3">
        <v>-1.1595815420150757</v>
      </c>
      <c r="I239" t="s">
        <v>4</v>
      </c>
    </row>
    <row r="240" spans="1:9" x14ac:dyDescent="0.3">
      <c r="A240" s="1">
        <v>60101</v>
      </c>
      <c r="B240" s="1">
        <v>1852</v>
      </c>
      <c r="C240" s="1">
        <v>5946</v>
      </c>
      <c r="D240" s="1">
        <v>9886</v>
      </c>
      <c r="E240" s="1">
        <v>13637</v>
      </c>
      <c r="F240" s="1">
        <v>23605</v>
      </c>
      <c r="G240" s="1">
        <v>54926</v>
      </c>
      <c r="H240" s="3">
        <v>0.61822515726089478</v>
      </c>
      <c r="I240" t="s">
        <v>1</v>
      </c>
    </row>
    <row r="241" spans="1:9" x14ac:dyDescent="0.3">
      <c r="A241" s="1">
        <v>60201</v>
      </c>
      <c r="B241" s="1">
        <v>1308</v>
      </c>
      <c r="C241" s="1">
        <v>2421</v>
      </c>
      <c r="D241" s="1">
        <v>759</v>
      </c>
      <c r="E241" s="1">
        <v>398</v>
      </c>
      <c r="F241" s="1">
        <v>204</v>
      </c>
      <c r="G241" s="1">
        <v>5090</v>
      </c>
      <c r="H241" s="3">
        <v>-0.4829544723033905</v>
      </c>
      <c r="I241" t="s">
        <v>2</v>
      </c>
    </row>
    <row r="242" spans="1:9" x14ac:dyDescent="0.3">
      <c r="A242" s="1">
        <v>60202</v>
      </c>
      <c r="B242" s="1">
        <v>450</v>
      </c>
      <c r="C242" s="1">
        <v>1158</v>
      </c>
      <c r="D242" s="1">
        <v>1801</v>
      </c>
      <c r="E242" s="1">
        <v>2390</v>
      </c>
      <c r="F242" s="1">
        <v>3213</v>
      </c>
      <c r="G242" s="1">
        <v>9012</v>
      </c>
      <c r="H242" s="3">
        <v>0.51209759712219238</v>
      </c>
      <c r="I242" t="s">
        <v>1</v>
      </c>
    </row>
    <row r="243" spans="1:9" x14ac:dyDescent="0.3">
      <c r="A243" s="1">
        <v>60301</v>
      </c>
      <c r="B243" s="1">
        <v>1362</v>
      </c>
      <c r="C243" s="1">
        <v>3996</v>
      </c>
      <c r="D243" s="1">
        <v>4684</v>
      </c>
      <c r="E243" s="1">
        <v>6293</v>
      </c>
      <c r="F243" s="1">
        <v>5803</v>
      </c>
      <c r="G243" s="1">
        <v>22138</v>
      </c>
      <c r="H243" s="3">
        <v>0.39016017317771912</v>
      </c>
      <c r="I243" t="s">
        <v>1</v>
      </c>
    </row>
    <row r="244" spans="1:9" x14ac:dyDescent="0.3">
      <c r="A244" s="1">
        <v>60302</v>
      </c>
      <c r="B244" s="1">
        <v>452</v>
      </c>
      <c r="C244" s="1">
        <v>1771</v>
      </c>
      <c r="D244" s="1">
        <v>892</v>
      </c>
      <c r="E244" s="1">
        <v>546</v>
      </c>
      <c r="F244" s="1">
        <v>334</v>
      </c>
      <c r="G244" s="1">
        <v>3995</v>
      </c>
      <c r="H244" s="3">
        <v>-0.10795961320400238</v>
      </c>
      <c r="I244" t="s">
        <v>1</v>
      </c>
    </row>
    <row r="245" spans="1:9" x14ac:dyDescent="0.3">
      <c r="A245" s="1">
        <v>60303</v>
      </c>
      <c r="B245" s="1">
        <v>1092</v>
      </c>
      <c r="C245" s="1">
        <v>2707</v>
      </c>
      <c r="D245" s="1">
        <v>2383</v>
      </c>
      <c r="E245" s="1">
        <v>2419</v>
      </c>
      <c r="F245" s="1">
        <v>1688</v>
      </c>
      <c r="G245" s="1">
        <v>10289</v>
      </c>
      <c r="H245" s="3">
        <v>0.14336833357810974</v>
      </c>
      <c r="I245" t="s">
        <v>1</v>
      </c>
    </row>
    <row r="246" spans="1:9" x14ac:dyDescent="0.3">
      <c r="A246" s="1">
        <v>60401</v>
      </c>
      <c r="B246" s="1">
        <v>667</v>
      </c>
      <c r="C246" s="1">
        <v>1889</v>
      </c>
      <c r="D246" s="1">
        <v>793</v>
      </c>
      <c r="E246" s="1">
        <v>543</v>
      </c>
      <c r="F246" s="1">
        <v>270</v>
      </c>
      <c r="G246" s="1">
        <v>4162</v>
      </c>
      <c r="H246" s="3">
        <v>-0.22531905770301819</v>
      </c>
      <c r="I246" t="s">
        <v>1</v>
      </c>
    </row>
    <row r="247" spans="1:9" x14ac:dyDescent="0.3">
      <c r="A247" s="1">
        <v>60402</v>
      </c>
      <c r="B247" s="1">
        <v>539</v>
      </c>
      <c r="C247" s="1">
        <v>757</v>
      </c>
      <c r="D247" s="1">
        <v>163</v>
      </c>
      <c r="E247" s="1">
        <v>23</v>
      </c>
      <c r="F247" s="1">
        <v>2</v>
      </c>
      <c r="G247" s="1">
        <v>1484</v>
      </c>
      <c r="H247" s="3">
        <v>-0.80254840850830078</v>
      </c>
      <c r="I247" t="s">
        <v>5</v>
      </c>
    </row>
    <row r="248" spans="1:9" x14ac:dyDescent="0.3">
      <c r="A248" s="1">
        <v>60501</v>
      </c>
      <c r="B248" s="1">
        <v>1272</v>
      </c>
      <c r="C248" s="1">
        <v>2125</v>
      </c>
      <c r="D248" s="1">
        <v>1389</v>
      </c>
      <c r="E248" s="1">
        <v>1128</v>
      </c>
      <c r="F248" s="1">
        <v>570</v>
      </c>
      <c r="G248" s="1">
        <v>6484</v>
      </c>
      <c r="H248" s="3">
        <v>-0.17894916236400604</v>
      </c>
      <c r="I248" t="s">
        <v>1</v>
      </c>
    </row>
    <row r="249" spans="1:9" x14ac:dyDescent="0.3">
      <c r="A249" s="1">
        <v>60502</v>
      </c>
      <c r="B249" s="1">
        <v>1030</v>
      </c>
      <c r="C249" s="1">
        <v>1358</v>
      </c>
      <c r="D249" s="1">
        <v>648</v>
      </c>
      <c r="E249" s="1">
        <v>178</v>
      </c>
      <c r="F249" s="1">
        <v>39</v>
      </c>
      <c r="G249" s="1">
        <v>3253</v>
      </c>
      <c r="H249" s="3">
        <v>-0.63014626502990723</v>
      </c>
      <c r="I249" t="s">
        <v>2</v>
      </c>
    </row>
    <row r="250" spans="1:9" x14ac:dyDescent="0.3">
      <c r="A250" s="1">
        <v>60601</v>
      </c>
      <c r="B250" s="1">
        <v>1366</v>
      </c>
      <c r="C250" s="1">
        <v>2329</v>
      </c>
      <c r="D250" s="1">
        <v>792</v>
      </c>
      <c r="E250" s="1">
        <v>551</v>
      </c>
      <c r="F250" s="1">
        <v>377</v>
      </c>
      <c r="G250" s="1">
        <v>5415</v>
      </c>
      <c r="H250" s="3">
        <v>-0.43761411309242249</v>
      </c>
      <c r="I250" t="s">
        <v>2</v>
      </c>
    </row>
    <row r="251" spans="1:9" x14ac:dyDescent="0.3">
      <c r="A251" s="1">
        <v>70101</v>
      </c>
      <c r="B251" s="1">
        <v>1140</v>
      </c>
      <c r="C251" s="1">
        <v>20565</v>
      </c>
      <c r="D251" s="1">
        <v>70178</v>
      </c>
      <c r="E251" s="1">
        <v>118706</v>
      </c>
      <c r="F251" s="1">
        <v>152288</v>
      </c>
      <c r="G251" s="1">
        <v>362877</v>
      </c>
      <c r="H251" s="3">
        <v>0.74449694156646729</v>
      </c>
      <c r="I251" t="s">
        <v>1</v>
      </c>
    </row>
    <row r="252" spans="1:9" x14ac:dyDescent="0.3">
      <c r="A252" s="1">
        <v>70102</v>
      </c>
      <c r="B252" s="1">
        <v>293</v>
      </c>
      <c r="C252" s="1">
        <v>2257</v>
      </c>
      <c r="D252" s="1">
        <v>3556</v>
      </c>
      <c r="E252" s="1">
        <v>2877</v>
      </c>
      <c r="F252" s="1">
        <v>1258</v>
      </c>
      <c r="G252" s="1">
        <v>10241</v>
      </c>
      <c r="H252" s="3">
        <v>0.33000102639198303</v>
      </c>
      <c r="I252" t="s">
        <v>1</v>
      </c>
    </row>
    <row r="253" spans="1:9" x14ac:dyDescent="0.3">
      <c r="A253" s="1">
        <v>70103</v>
      </c>
      <c r="B253" s="1">
        <v>850</v>
      </c>
      <c r="C253" s="1">
        <v>1110</v>
      </c>
      <c r="D253" s="1">
        <v>591</v>
      </c>
      <c r="E253" s="1">
        <v>424</v>
      </c>
      <c r="F253" s="1">
        <v>647</v>
      </c>
      <c r="G253" s="1">
        <v>3622</v>
      </c>
      <c r="H253" s="3">
        <v>-0.18676334619522095</v>
      </c>
      <c r="I253" t="s">
        <v>1</v>
      </c>
    </row>
    <row r="254" spans="1:9" x14ac:dyDescent="0.3">
      <c r="A254" s="1">
        <v>70104</v>
      </c>
      <c r="B254" s="1">
        <v>328</v>
      </c>
      <c r="C254" s="1">
        <v>2876</v>
      </c>
      <c r="D254" s="1">
        <v>5824</v>
      </c>
      <c r="E254" s="1">
        <v>8857</v>
      </c>
      <c r="F254" s="1">
        <v>3429</v>
      </c>
      <c r="G254" s="1">
        <v>21314</v>
      </c>
      <c r="H254" s="3">
        <v>0.48385119438171387</v>
      </c>
      <c r="I254" t="s">
        <v>1</v>
      </c>
    </row>
    <row r="255" spans="1:9" x14ac:dyDescent="0.3">
      <c r="A255" s="1">
        <v>70105</v>
      </c>
      <c r="B255" s="1">
        <v>1583</v>
      </c>
      <c r="C255" s="1">
        <v>2262</v>
      </c>
      <c r="D255" s="1">
        <v>2805</v>
      </c>
      <c r="E255" s="1">
        <v>3872</v>
      </c>
      <c r="F255" s="1">
        <v>1713</v>
      </c>
      <c r="G255" s="1">
        <v>12235</v>
      </c>
      <c r="H255" s="3">
        <v>0.15663991868495941</v>
      </c>
      <c r="I255" t="s">
        <v>1</v>
      </c>
    </row>
    <row r="256" spans="1:9" x14ac:dyDescent="0.3">
      <c r="A256" s="1">
        <v>70201</v>
      </c>
      <c r="B256" s="1">
        <v>687</v>
      </c>
      <c r="C256" s="1">
        <v>4223</v>
      </c>
      <c r="D256" s="1">
        <v>7140</v>
      </c>
      <c r="E256" s="1">
        <v>7493</v>
      </c>
      <c r="F256" s="1">
        <v>3675</v>
      </c>
      <c r="G256" s="1">
        <v>23218</v>
      </c>
      <c r="H256" s="3">
        <v>0.38972952961921692</v>
      </c>
      <c r="I256" t="s">
        <v>1</v>
      </c>
    </row>
    <row r="257" spans="1:9" x14ac:dyDescent="0.3">
      <c r="A257" s="1">
        <v>70202</v>
      </c>
      <c r="B257" s="1">
        <v>231</v>
      </c>
      <c r="C257" s="1">
        <v>859</v>
      </c>
      <c r="D257" s="1">
        <v>646</v>
      </c>
      <c r="E257" s="1">
        <v>613</v>
      </c>
      <c r="F257" s="1">
        <v>211</v>
      </c>
      <c r="G257" s="1">
        <v>2560</v>
      </c>
      <c r="H257" s="3">
        <v>6.2770798802375793E-2</v>
      </c>
      <c r="I257" t="s">
        <v>1</v>
      </c>
    </row>
    <row r="258" spans="1:9" x14ac:dyDescent="0.3">
      <c r="A258" s="1">
        <v>70301</v>
      </c>
      <c r="B258" s="1">
        <v>4564</v>
      </c>
      <c r="C258" s="1">
        <v>3008</v>
      </c>
      <c r="D258" s="1">
        <v>1650</v>
      </c>
      <c r="E258" s="1">
        <v>981</v>
      </c>
      <c r="F258" s="1">
        <v>622</v>
      </c>
      <c r="G258" s="1">
        <v>10825</v>
      </c>
      <c r="H258" s="3">
        <v>-0.68058454990386963</v>
      </c>
      <c r="I258" t="s">
        <v>2</v>
      </c>
    </row>
    <row r="259" spans="1:9" x14ac:dyDescent="0.3">
      <c r="A259" s="1">
        <v>70302</v>
      </c>
      <c r="B259" s="1">
        <v>1303</v>
      </c>
      <c r="C259" s="1">
        <v>700</v>
      </c>
      <c r="D259" s="1">
        <v>428</v>
      </c>
      <c r="E259" s="1">
        <v>116</v>
      </c>
      <c r="F259" s="1">
        <v>35</v>
      </c>
      <c r="G259" s="1">
        <v>2582</v>
      </c>
      <c r="H259" s="3">
        <v>-0.91939359903335571</v>
      </c>
      <c r="I259" t="s">
        <v>5</v>
      </c>
    </row>
    <row r="260" spans="1:9" x14ac:dyDescent="0.3">
      <c r="A260" s="1">
        <v>70303</v>
      </c>
      <c r="B260" s="1">
        <v>467</v>
      </c>
      <c r="C260" s="1">
        <v>369</v>
      </c>
      <c r="D260" s="1">
        <v>144</v>
      </c>
      <c r="E260" s="1">
        <v>111</v>
      </c>
      <c r="F260" s="1">
        <v>48</v>
      </c>
      <c r="G260" s="1">
        <v>1139</v>
      </c>
      <c r="H260" s="3">
        <v>-0.70949864387512207</v>
      </c>
      <c r="I260" t="s">
        <v>2</v>
      </c>
    </row>
    <row r="261" spans="1:9" x14ac:dyDescent="0.3">
      <c r="A261" s="1">
        <v>70401</v>
      </c>
      <c r="B261" s="1">
        <v>774</v>
      </c>
      <c r="C261" s="1">
        <v>910</v>
      </c>
      <c r="D261" s="1">
        <v>592</v>
      </c>
      <c r="E261" s="1">
        <v>581</v>
      </c>
      <c r="F261" s="1">
        <v>314</v>
      </c>
      <c r="G261" s="1">
        <v>3171</v>
      </c>
      <c r="H261" s="3">
        <v>-0.25631433725357056</v>
      </c>
      <c r="I261" t="s">
        <v>2</v>
      </c>
    </row>
    <row r="262" spans="1:9" x14ac:dyDescent="0.3">
      <c r="A262" s="1">
        <v>70402</v>
      </c>
      <c r="B262" s="1">
        <v>877</v>
      </c>
      <c r="C262" s="1">
        <v>1143</v>
      </c>
      <c r="D262" s="1">
        <v>1126</v>
      </c>
      <c r="E262" s="1">
        <v>1150</v>
      </c>
      <c r="F262" s="1">
        <v>277</v>
      </c>
      <c r="G262" s="1">
        <v>4573</v>
      </c>
      <c r="H262" s="3">
        <v>-0.10627622902393341</v>
      </c>
      <c r="I262" t="s">
        <v>1</v>
      </c>
    </row>
    <row r="263" spans="1:9" x14ac:dyDescent="0.3">
      <c r="A263" s="1">
        <v>70403</v>
      </c>
      <c r="B263" s="1">
        <v>5732</v>
      </c>
      <c r="C263" s="1">
        <v>2560</v>
      </c>
      <c r="D263" s="1">
        <v>2757</v>
      </c>
      <c r="E263" s="1">
        <v>2692</v>
      </c>
      <c r="F263" s="1">
        <v>1034</v>
      </c>
      <c r="G263" s="1">
        <v>14775</v>
      </c>
      <c r="H263" s="3">
        <v>-0.5464017391204834</v>
      </c>
      <c r="I263" t="s">
        <v>2</v>
      </c>
    </row>
    <row r="264" spans="1:9" x14ac:dyDescent="0.3">
      <c r="A264" s="1">
        <v>70404</v>
      </c>
      <c r="B264" s="1">
        <v>511</v>
      </c>
      <c r="C264" s="1">
        <v>459</v>
      </c>
      <c r="D264" s="1">
        <v>483</v>
      </c>
      <c r="E264" s="1">
        <v>420</v>
      </c>
      <c r="F264" s="1">
        <v>182</v>
      </c>
      <c r="G264" s="1">
        <v>2055</v>
      </c>
      <c r="H264" s="3">
        <v>-0.20809406042098999</v>
      </c>
      <c r="I264" t="s">
        <v>1</v>
      </c>
    </row>
    <row r="265" spans="1:9" x14ac:dyDescent="0.3">
      <c r="A265" s="1">
        <v>70501</v>
      </c>
      <c r="B265" s="1">
        <v>505</v>
      </c>
      <c r="C265" s="1">
        <v>1627</v>
      </c>
      <c r="D265" s="1">
        <v>1053</v>
      </c>
      <c r="E265" s="1">
        <v>1010</v>
      </c>
      <c r="F265" s="1">
        <v>371</v>
      </c>
      <c r="G265" s="1">
        <v>4566</v>
      </c>
      <c r="H265" s="3">
        <v>-2.0396966487169266E-2</v>
      </c>
      <c r="I265" t="s">
        <v>1</v>
      </c>
    </row>
    <row r="266" spans="1:9" x14ac:dyDescent="0.3">
      <c r="A266" s="1">
        <v>70502</v>
      </c>
      <c r="B266" s="1">
        <v>745</v>
      </c>
      <c r="C266" s="1">
        <v>3519</v>
      </c>
      <c r="D266" s="1">
        <v>1494</v>
      </c>
      <c r="E266" s="1">
        <v>1147</v>
      </c>
      <c r="F266" s="1">
        <v>277</v>
      </c>
      <c r="G266" s="1">
        <v>7182</v>
      </c>
      <c r="H266" s="3">
        <v>-0.20585106313228607</v>
      </c>
      <c r="I266" t="s">
        <v>1</v>
      </c>
    </row>
    <row r="267" spans="1:9" x14ac:dyDescent="0.3">
      <c r="A267" s="1">
        <v>70503</v>
      </c>
      <c r="B267" s="1">
        <v>565</v>
      </c>
      <c r="C267" s="1">
        <v>1051</v>
      </c>
      <c r="D267" s="1">
        <v>752</v>
      </c>
      <c r="E267" s="1">
        <v>809</v>
      </c>
      <c r="F267" s="1">
        <v>570</v>
      </c>
      <c r="G267" s="1">
        <v>3747</v>
      </c>
      <c r="H267" s="3">
        <v>1.1445292271673679E-2</v>
      </c>
      <c r="I267" t="s">
        <v>1</v>
      </c>
    </row>
    <row r="268" spans="1:9" x14ac:dyDescent="0.3">
      <c r="A268" s="1">
        <v>70601</v>
      </c>
      <c r="B268" s="1">
        <v>284</v>
      </c>
      <c r="C268" s="1">
        <v>796</v>
      </c>
      <c r="D268" s="1">
        <v>818</v>
      </c>
      <c r="E268" s="1">
        <v>1049</v>
      </c>
      <c r="F268" s="1">
        <v>1172</v>
      </c>
      <c r="G268" s="1">
        <v>4119</v>
      </c>
      <c r="H268" s="3">
        <v>0.36701744794845581</v>
      </c>
      <c r="I268" t="s">
        <v>1</v>
      </c>
    </row>
    <row r="269" spans="1:9" x14ac:dyDescent="0.3">
      <c r="A269" s="1">
        <v>70602</v>
      </c>
      <c r="B269" s="1">
        <v>2386</v>
      </c>
      <c r="C269" s="1">
        <v>1452</v>
      </c>
      <c r="D269" s="1">
        <v>579</v>
      </c>
      <c r="E269" s="1">
        <v>440</v>
      </c>
      <c r="F269" s="1">
        <v>121</v>
      </c>
      <c r="G269" s="1">
        <v>4978</v>
      </c>
      <c r="H269" s="3">
        <v>-0.8649328351020813</v>
      </c>
      <c r="I269" t="s">
        <v>5</v>
      </c>
    </row>
    <row r="270" spans="1:9" x14ac:dyDescent="0.3">
      <c r="A270" s="1">
        <v>70603</v>
      </c>
      <c r="B270" s="1">
        <v>77</v>
      </c>
      <c r="C270" s="1">
        <v>372</v>
      </c>
      <c r="D270" s="1">
        <v>404</v>
      </c>
      <c r="E270" s="1">
        <v>377</v>
      </c>
      <c r="F270" s="1">
        <v>124</v>
      </c>
      <c r="G270" s="1">
        <v>1354</v>
      </c>
      <c r="H270" s="3">
        <v>0.20435474812984467</v>
      </c>
      <c r="I270" t="s">
        <v>1</v>
      </c>
    </row>
    <row r="271" spans="1:9" x14ac:dyDescent="0.3">
      <c r="A271" s="1">
        <v>70701</v>
      </c>
      <c r="B271" s="1">
        <v>487</v>
      </c>
      <c r="C271" s="1">
        <v>362</v>
      </c>
      <c r="D271" s="1">
        <v>150</v>
      </c>
      <c r="E271" s="1">
        <v>50</v>
      </c>
      <c r="F271" s="1">
        <v>22</v>
      </c>
      <c r="G271" s="1">
        <v>1071</v>
      </c>
      <c r="H271" s="3">
        <v>-0.79890680313110352</v>
      </c>
      <c r="I271" t="s">
        <v>5</v>
      </c>
    </row>
    <row r="272" spans="1:9" x14ac:dyDescent="0.3">
      <c r="A272" s="1">
        <v>70702</v>
      </c>
      <c r="B272" s="1">
        <v>2986</v>
      </c>
      <c r="C272" s="1">
        <v>2421</v>
      </c>
      <c r="D272" s="1">
        <v>428</v>
      </c>
      <c r="E272" s="1">
        <v>270</v>
      </c>
      <c r="F272" s="1">
        <v>184</v>
      </c>
      <c r="G272" s="1">
        <v>6289</v>
      </c>
      <c r="H272" s="3">
        <v>-0.88410842418670654</v>
      </c>
      <c r="I272" t="s">
        <v>5</v>
      </c>
    </row>
    <row r="273" spans="1:9" x14ac:dyDescent="0.3">
      <c r="A273" s="1">
        <v>70703</v>
      </c>
      <c r="B273" s="1">
        <v>993</v>
      </c>
      <c r="C273" s="1">
        <v>3112</v>
      </c>
      <c r="D273" s="1">
        <v>905</v>
      </c>
      <c r="E273" s="1">
        <v>512</v>
      </c>
      <c r="F273" s="1">
        <v>106</v>
      </c>
      <c r="G273" s="1">
        <v>5628</v>
      </c>
      <c r="H273" s="3">
        <v>-0.42246761918067932</v>
      </c>
      <c r="I273" t="s">
        <v>2</v>
      </c>
    </row>
    <row r="274" spans="1:9" x14ac:dyDescent="0.3">
      <c r="A274" s="1">
        <v>70704</v>
      </c>
      <c r="B274" s="1">
        <v>384</v>
      </c>
      <c r="C274" s="1">
        <v>360</v>
      </c>
      <c r="D274" s="1">
        <v>255</v>
      </c>
      <c r="E274" s="1">
        <v>100</v>
      </c>
      <c r="F274" s="1">
        <v>18</v>
      </c>
      <c r="G274" s="1">
        <v>1117</v>
      </c>
      <c r="H274" s="3">
        <v>-0.54137462377548218</v>
      </c>
      <c r="I274" t="s">
        <v>2</v>
      </c>
    </row>
    <row r="275" spans="1:9" x14ac:dyDescent="0.3">
      <c r="A275" s="1">
        <v>70705</v>
      </c>
      <c r="B275" s="1">
        <v>1744</v>
      </c>
      <c r="C275" s="1">
        <v>513</v>
      </c>
      <c r="D275" s="1">
        <v>104</v>
      </c>
      <c r="E275" s="1">
        <v>26</v>
      </c>
      <c r="F275" s="1">
        <v>3</v>
      </c>
      <c r="G275" s="1">
        <v>2390</v>
      </c>
      <c r="H275" s="3">
        <v>-1.2707628011703491</v>
      </c>
      <c r="I275" t="s">
        <v>4</v>
      </c>
    </row>
    <row r="276" spans="1:9" x14ac:dyDescent="0.3">
      <c r="A276" s="1">
        <v>70706</v>
      </c>
      <c r="B276" s="1">
        <v>516</v>
      </c>
      <c r="C276" s="1">
        <v>1242</v>
      </c>
      <c r="D276" s="1">
        <v>2482</v>
      </c>
      <c r="E276" s="1">
        <v>2385</v>
      </c>
      <c r="F276" s="1">
        <v>1749</v>
      </c>
      <c r="G276" s="1">
        <v>8374</v>
      </c>
      <c r="H276" s="3">
        <v>0.38202676177024841</v>
      </c>
      <c r="I276" t="s">
        <v>1</v>
      </c>
    </row>
    <row r="277" spans="1:9" x14ac:dyDescent="0.3">
      <c r="A277" s="1">
        <v>70707</v>
      </c>
      <c r="B277" s="1">
        <v>328</v>
      </c>
      <c r="C277" s="1">
        <v>294</v>
      </c>
      <c r="D277" s="1">
        <v>204</v>
      </c>
      <c r="E277" s="1">
        <v>118</v>
      </c>
      <c r="F277" s="1">
        <v>69</v>
      </c>
      <c r="G277" s="1">
        <v>1013</v>
      </c>
      <c r="H277" s="3">
        <v>-0.4075128436088562</v>
      </c>
      <c r="I277" t="s">
        <v>2</v>
      </c>
    </row>
    <row r="278" spans="1:9" x14ac:dyDescent="0.3">
      <c r="A278" s="1">
        <v>70801</v>
      </c>
      <c r="B278" s="1">
        <v>1363</v>
      </c>
      <c r="C278" s="1">
        <v>958</v>
      </c>
      <c r="D278" s="1">
        <v>1213</v>
      </c>
      <c r="E278" s="1">
        <v>1024</v>
      </c>
      <c r="F278" s="1">
        <v>717</v>
      </c>
      <c r="G278" s="1">
        <v>5275</v>
      </c>
      <c r="H278" s="3">
        <v>-0.11998831480741501</v>
      </c>
      <c r="I278" t="s">
        <v>1</v>
      </c>
    </row>
    <row r="279" spans="1:9" x14ac:dyDescent="0.3">
      <c r="A279" s="1">
        <v>70802</v>
      </c>
      <c r="B279" s="1">
        <v>108</v>
      </c>
      <c r="C279" s="1">
        <v>258</v>
      </c>
      <c r="D279" s="1">
        <v>154</v>
      </c>
      <c r="E279" s="1">
        <v>46</v>
      </c>
      <c r="F279" s="1">
        <v>10</v>
      </c>
      <c r="G279" s="1">
        <v>576</v>
      </c>
      <c r="H279" s="3">
        <v>-0.30857017636299133</v>
      </c>
      <c r="I279" t="s">
        <v>2</v>
      </c>
    </row>
    <row r="280" spans="1:9" x14ac:dyDescent="0.3">
      <c r="A280" s="1">
        <v>70803</v>
      </c>
      <c r="B280" s="1">
        <v>415</v>
      </c>
      <c r="C280" s="1">
        <v>260</v>
      </c>
      <c r="D280" s="1">
        <v>124</v>
      </c>
      <c r="E280" s="1">
        <v>53</v>
      </c>
      <c r="F280" s="1">
        <v>18</v>
      </c>
      <c r="G280" s="1">
        <v>870</v>
      </c>
      <c r="H280" s="3">
        <v>-0.82763630151748657</v>
      </c>
      <c r="I280" t="s">
        <v>5</v>
      </c>
    </row>
    <row r="281" spans="1:9" x14ac:dyDescent="0.3">
      <c r="A281" s="1">
        <v>70804</v>
      </c>
      <c r="B281" s="1">
        <v>286</v>
      </c>
      <c r="C281" s="1">
        <v>135</v>
      </c>
      <c r="D281" s="1">
        <v>118</v>
      </c>
      <c r="E281" s="1">
        <v>49</v>
      </c>
      <c r="F281" s="1">
        <v>12</v>
      </c>
      <c r="G281" s="1">
        <v>600</v>
      </c>
      <c r="H281" s="3">
        <v>-0.78987723588943481</v>
      </c>
      <c r="I281" t="s">
        <v>5</v>
      </c>
    </row>
    <row r="282" spans="1:9" x14ac:dyDescent="0.3">
      <c r="A282" s="1">
        <v>70805</v>
      </c>
      <c r="B282" s="1">
        <v>340</v>
      </c>
      <c r="C282" s="1">
        <v>164</v>
      </c>
      <c r="D282" s="1">
        <v>80</v>
      </c>
      <c r="E282" s="1">
        <v>42</v>
      </c>
      <c r="F282" s="1">
        <v>9</v>
      </c>
      <c r="G282" s="1">
        <v>635</v>
      </c>
      <c r="H282" s="3">
        <v>-0.90199786424636841</v>
      </c>
      <c r="I282" t="s">
        <v>5</v>
      </c>
    </row>
    <row r="283" spans="1:9" x14ac:dyDescent="0.3">
      <c r="A283" s="1">
        <v>70901</v>
      </c>
      <c r="B283" s="1">
        <v>623</v>
      </c>
      <c r="C283" s="1">
        <v>860</v>
      </c>
      <c r="D283" s="1">
        <v>892</v>
      </c>
      <c r="E283" s="1">
        <v>509</v>
      </c>
      <c r="F283" s="1">
        <v>215</v>
      </c>
      <c r="G283" s="1">
        <v>3099</v>
      </c>
      <c r="H283" s="3">
        <v>-0.14914029836654663</v>
      </c>
      <c r="I283" t="s">
        <v>1</v>
      </c>
    </row>
    <row r="284" spans="1:9" x14ac:dyDescent="0.3">
      <c r="A284" s="1">
        <v>70902</v>
      </c>
      <c r="B284" s="1">
        <v>410</v>
      </c>
      <c r="C284" s="1">
        <v>933</v>
      </c>
      <c r="D284" s="1">
        <v>923</v>
      </c>
      <c r="E284" s="1">
        <v>384</v>
      </c>
      <c r="F284" s="1">
        <v>64</v>
      </c>
      <c r="G284" s="1">
        <v>2714</v>
      </c>
      <c r="H284" s="3">
        <v>-0.1532052606344223</v>
      </c>
      <c r="I284" t="s">
        <v>1</v>
      </c>
    </row>
    <row r="285" spans="1:9" x14ac:dyDescent="0.3">
      <c r="A285" s="1">
        <v>70903</v>
      </c>
      <c r="B285" s="1">
        <v>273</v>
      </c>
      <c r="C285" s="1">
        <v>631</v>
      </c>
      <c r="D285" s="1">
        <v>1057</v>
      </c>
      <c r="E285" s="1">
        <v>809</v>
      </c>
      <c r="F285" s="1">
        <v>194</v>
      </c>
      <c r="G285" s="1">
        <v>2964</v>
      </c>
      <c r="H285" s="3">
        <v>0.15637286007404327</v>
      </c>
      <c r="I285" t="s">
        <v>1</v>
      </c>
    </row>
    <row r="286" spans="1:9" x14ac:dyDescent="0.3">
      <c r="A286" s="1">
        <v>70904</v>
      </c>
      <c r="B286" s="1">
        <v>163</v>
      </c>
      <c r="C286" s="1">
        <v>281</v>
      </c>
      <c r="D286" s="1">
        <v>184</v>
      </c>
      <c r="E286" s="1">
        <v>91</v>
      </c>
      <c r="F286" s="1">
        <v>11</v>
      </c>
      <c r="G286" s="1">
        <v>730</v>
      </c>
      <c r="H286" s="3">
        <v>-0.33306890726089478</v>
      </c>
      <c r="I286" t="s">
        <v>2</v>
      </c>
    </row>
    <row r="287" spans="1:9" x14ac:dyDescent="0.3">
      <c r="A287" s="1">
        <v>71001</v>
      </c>
      <c r="B287" s="1">
        <v>826</v>
      </c>
      <c r="C287" s="1">
        <v>3348</v>
      </c>
      <c r="D287" s="1">
        <v>6176</v>
      </c>
      <c r="E287" s="1">
        <v>8554</v>
      </c>
      <c r="F287" s="1">
        <v>7439</v>
      </c>
      <c r="G287" s="1">
        <v>26343</v>
      </c>
      <c r="H287" s="3">
        <v>0.52249914407730103</v>
      </c>
      <c r="I287" t="s">
        <v>1</v>
      </c>
    </row>
    <row r="288" spans="1:9" x14ac:dyDescent="0.3">
      <c r="A288" s="1">
        <v>71002</v>
      </c>
      <c r="B288" s="1">
        <v>464</v>
      </c>
      <c r="C288" s="1">
        <v>1222</v>
      </c>
      <c r="D288" s="1">
        <v>680</v>
      </c>
      <c r="E288" s="1">
        <v>664</v>
      </c>
      <c r="F288" s="1">
        <v>206</v>
      </c>
      <c r="G288" s="1">
        <v>3236</v>
      </c>
      <c r="H288" s="3">
        <v>-0.10588253289461136</v>
      </c>
      <c r="I288" t="s">
        <v>1</v>
      </c>
    </row>
    <row r="289" spans="1:9" x14ac:dyDescent="0.3">
      <c r="A289" s="1">
        <v>71003</v>
      </c>
      <c r="B289" s="1">
        <v>540</v>
      </c>
      <c r="C289" s="1">
        <v>1141</v>
      </c>
      <c r="D289" s="1">
        <v>1523</v>
      </c>
      <c r="E289" s="1">
        <v>1540</v>
      </c>
      <c r="F289" s="1">
        <v>583</v>
      </c>
      <c r="G289" s="1">
        <v>5327</v>
      </c>
      <c r="H289" s="3">
        <v>0.1588045209646225</v>
      </c>
      <c r="I289" t="s">
        <v>1</v>
      </c>
    </row>
    <row r="290" spans="1:9" x14ac:dyDescent="0.3">
      <c r="A290" s="1">
        <v>71004</v>
      </c>
      <c r="B290" s="1">
        <v>362</v>
      </c>
      <c r="C290" s="1">
        <v>1000</v>
      </c>
      <c r="D290" s="1">
        <v>715</v>
      </c>
      <c r="E290" s="1">
        <v>772</v>
      </c>
      <c r="F290" s="1">
        <v>314</v>
      </c>
      <c r="G290" s="1">
        <v>3163</v>
      </c>
      <c r="H290" s="3">
        <v>3.5813618451356888E-2</v>
      </c>
      <c r="I290" t="s">
        <v>1</v>
      </c>
    </row>
    <row r="291" spans="1:9" x14ac:dyDescent="0.3">
      <c r="A291" s="1">
        <v>71005</v>
      </c>
      <c r="B291" s="1">
        <v>361</v>
      </c>
      <c r="C291" s="1">
        <v>1357</v>
      </c>
      <c r="D291" s="1">
        <v>747</v>
      </c>
      <c r="E291" s="1">
        <v>763</v>
      </c>
      <c r="F291" s="1">
        <v>249</v>
      </c>
      <c r="G291" s="1">
        <v>3477</v>
      </c>
      <c r="H291" s="3">
        <v>-4.5194681733846664E-3</v>
      </c>
      <c r="I291" t="s">
        <v>1</v>
      </c>
    </row>
    <row r="292" spans="1:9" x14ac:dyDescent="0.3">
      <c r="A292" s="1">
        <v>71101</v>
      </c>
      <c r="B292" s="1">
        <v>2139</v>
      </c>
      <c r="C292" s="1">
        <v>1150</v>
      </c>
      <c r="D292" s="1">
        <v>559</v>
      </c>
      <c r="E292" s="1">
        <v>296</v>
      </c>
      <c r="F292" s="1">
        <v>117</v>
      </c>
      <c r="G292" s="1">
        <v>4261</v>
      </c>
      <c r="H292" s="3">
        <v>-0.90659767389297485</v>
      </c>
      <c r="I292" t="s">
        <v>5</v>
      </c>
    </row>
    <row r="293" spans="1:9" x14ac:dyDescent="0.3">
      <c r="A293" s="1">
        <v>71102</v>
      </c>
      <c r="B293" s="1">
        <v>1230</v>
      </c>
      <c r="C293" s="1">
        <v>1025</v>
      </c>
      <c r="D293" s="1">
        <v>450</v>
      </c>
      <c r="E293" s="1">
        <v>319</v>
      </c>
      <c r="F293" s="1">
        <v>161</v>
      </c>
      <c r="G293" s="1">
        <v>3185</v>
      </c>
      <c r="H293" s="3">
        <v>-0.69361305236816406</v>
      </c>
      <c r="I293" t="s">
        <v>2</v>
      </c>
    </row>
    <row r="294" spans="1:9" x14ac:dyDescent="0.3">
      <c r="A294" s="1">
        <v>71103</v>
      </c>
      <c r="B294" s="1">
        <v>355</v>
      </c>
      <c r="C294" s="1">
        <v>573</v>
      </c>
      <c r="D294" s="1">
        <v>374</v>
      </c>
      <c r="E294" s="1">
        <v>273</v>
      </c>
      <c r="F294" s="1">
        <v>110</v>
      </c>
      <c r="G294" s="1">
        <v>1685</v>
      </c>
      <c r="H294" s="3">
        <v>-0.25307723879814148</v>
      </c>
      <c r="I294" t="s">
        <v>2</v>
      </c>
    </row>
    <row r="295" spans="1:9" x14ac:dyDescent="0.3">
      <c r="A295" s="1">
        <v>71104</v>
      </c>
      <c r="B295" s="1">
        <v>4821</v>
      </c>
      <c r="C295" s="1">
        <v>3703</v>
      </c>
      <c r="D295" s="1">
        <v>1983</v>
      </c>
      <c r="E295" s="1">
        <v>1802</v>
      </c>
      <c r="F295" s="1">
        <v>458</v>
      </c>
      <c r="G295" s="1">
        <v>12767</v>
      </c>
      <c r="H295" s="3">
        <v>-0.58725720643997192</v>
      </c>
      <c r="I295" t="s">
        <v>2</v>
      </c>
    </row>
    <row r="296" spans="1:9" x14ac:dyDescent="0.3">
      <c r="A296" s="1">
        <v>71105</v>
      </c>
      <c r="B296" s="1">
        <v>618</v>
      </c>
      <c r="C296" s="1">
        <v>461</v>
      </c>
      <c r="D296" s="1">
        <v>58</v>
      </c>
      <c r="E296" s="1">
        <v>8</v>
      </c>
      <c r="F296" s="1">
        <v>1</v>
      </c>
      <c r="G296" s="1">
        <v>1146</v>
      </c>
      <c r="H296" s="3">
        <v>-1.0894285440444946</v>
      </c>
      <c r="I296" t="s">
        <v>4</v>
      </c>
    </row>
    <row r="297" spans="1:9" x14ac:dyDescent="0.3">
      <c r="A297" s="1">
        <v>71106</v>
      </c>
      <c r="B297" s="1">
        <v>413</v>
      </c>
      <c r="C297" s="1">
        <v>1982</v>
      </c>
      <c r="D297" s="1">
        <v>1359</v>
      </c>
      <c r="E297" s="1">
        <v>1088</v>
      </c>
      <c r="F297" s="1">
        <v>216</v>
      </c>
      <c r="G297" s="1">
        <v>5058</v>
      </c>
      <c r="H297" s="3">
        <v>-2.5318825617432594E-2</v>
      </c>
      <c r="I297" t="s">
        <v>1</v>
      </c>
    </row>
    <row r="298" spans="1:9" x14ac:dyDescent="0.3">
      <c r="A298" s="1">
        <v>71201</v>
      </c>
      <c r="B298" s="1">
        <v>1183</v>
      </c>
      <c r="C298" s="1">
        <v>854</v>
      </c>
      <c r="D298" s="1">
        <v>501</v>
      </c>
      <c r="E298" s="1">
        <v>499</v>
      </c>
      <c r="F298" s="1">
        <v>178</v>
      </c>
      <c r="G298" s="1">
        <v>3215</v>
      </c>
      <c r="H298" s="3">
        <v>-0.53588485717773438</v>
      </c>
      <c r="I298" t="s">
        <v>2</v>
      </c>
    </row>
    <row r="299" spans="1:9" x14ac:dyDescent="0.3">
      <c r="A299" s="1">
        <v>71301</v>
      </c>
      <c r="B299" s="1">
        <v>1266</v>
      </c>
      <c r="C299" s="1">
        <v>1402</v>
      </c>
      <c r="D299" s="1">
        <v>1199</v>
      </c>
      <c r="E299" s="1">
        <v>510</v>
      </c>
      <c r="F299" s="1">
        <v>262</v>
      </c>
      <c r="G299" s="1">
        <v>4639</v>
      </c>
      <c r="H299" s="3">
        <v>-0.37592250108718872</v>
      </c>
      <c r="I299" t="s">
        <v>2</v>
      </c>
    </row>
    <row r="300" spans="1:9" x14ac:dyDescent="0.3">
      <c r="A300" s="1">
        <v>71302</v>
      </c>
      <c r="B300" s="1">
        <v>277</v>
      </c>
      <c r="C300" s="1">
        <v>658</v>
      </c>
      <c r="D300" s="1">
        <v>604</v>
      </c>
      <c r="E300" s="1">
        <v>224</v>
      </c>
      <c r="F300" s="1">
        <v>20</v>
      </c>
      <c r="G300" s="1">
        <v>1783</v>
      </c>
      <c r="H300" s="3">
        <v>-0.17907057702541351</v>
      </c>
      <c r="I300" t="s">
        <v>1</v>
      </c>
    </row>
    <row r="301" spans="1:9" x14ac:dyDescent="0.3">
      <c r="A301" s="1">
        <v>71401</v>
      </c>
      <c r="B301" s="1">
        <v>446</v>
      </c>
      <c r="C301" s="1">
        <v>973</v>
      </c>
      <c r="D301" s="1">
        <v>1131</v>
      </c>
      <c r="E301" s="1">
        <v>1389</v>
      </c>
      <c r="F301" s="1">
        <v>615</v>
      </c>
      <c r="G301" s="1">
        <v>4554</v>
      </c>
      <c r="H301" s="3">
        <v>0.20557169616222382</v>
      </c>
      <c r="I301" t="s">
        <v>1</v>
      </c>
    </row>
    <row r="302" spans="1:9" x14ac:dyDescent="0.3">
      <c r="A302" s="1">
        <v>71402</v>
      </c>
      <c r="B302" s="1">
        <v>112</v>
      </c>
      <c r="C302" s="1">
        <v>653</v>
      </c>
      <c r="D302" s="1">
        <v>1088</v>
      </c>
      <c r="E302" s="1">
        <v>1448</v>
      </c>
      <c r="F302" s="1">
        <v>580</v>
      </c>
      <c r="G302" s="1">
        <v>3881</v>
      </c>
      <c r="H302" s="3">
        <v>0.41132739186286926</v>
      </c>
      <c r="I302" t="s">
        <v>1</v>
      </c>
    </row>
    <row r="303" spans="1:9" x14ac:dyDescent="0.3">
      <c r="A303" s="1">
        <v>71403</v>
      </c>
      <c r="B303" s="1">
        <v>619</v>
      </c>
      <c r="C303" s="1">
        <v>532</v>
      </c>
      <c r="D303" s="1">
        <v>154</v>
      </c>
      <c r="E303" s="1">
        <v>158</v>
      </c>
      <c r="F303" s="1">
        <v>29</v>
      </c>
      <c r="G303" s="1">
        <v>1492</v>
      </c>
      <c r="H303" s="3">
        <v>-0.76678067445755005</v>
      </c>
      <c r="I303" t="s">
        <v>5</v>
      </c>
    </row>
    <row r="304" spans="1:9" x14ac:dyDescent="0.3">
      <c r="A304" s="1">
        <v>71501</v>
      </c>
      <c r="B304" s="1">
        <v>1763</v>
      </c>
      <c r="C304" s="1">
        <v>2391</v>
      </c>
      <c r="D304" s="1">
        <v>813</v>
      </c>
      <c r="E304" s="1">
        <v>388</v>
      </c>
      <c r="F304" s="1">
        <v>166</v>
      </c>
      <c r="G304" s="1">
        <v>5521</v>
      </c>
      <c r="H304" s="3">
        <v>-0.60901385545730591</v>
      </c>
      <c r="I304" t="s">
        <v>2</v>
      </c>
    </row>
    <row r="305" spans="1:9" x14ac:dyDescent="0.3">
      <c r="A305" s="1">
        <v>71502</v>
      </c>
      <c r="B305" s="1">
        <v>493</v>
      </c>
      <c r="C305" s="1">
        <v>541</v>
      </c>
      <c r="D305" s="1">
        <v>112</v>
      </c>
      <c r="E305" s="1">
        <v>29</v>
      </c>
      <c r="F305" s="1">
        <v>7</v>
      </c>
      <c r="G305" s="1">
        <v>1182</v>
      </c>
      <c r="H305" s="3">
        <v>-0.87266886234283447</v>
      </c>
      <c r="I305" t="s">
        <v>5</v>
      </c>
    </row>
    <row r="306" spans="1:9" x14ac:dyDescent="0.3">
      <c r="A306" s="1">
        <v>71503</v>
      </c>
      <c r="B306" s="1">
        <v>3197</v>
      </c>
      <c r="C306" s="1">
        <v>988</v>
      </c>
      <c r="D306" s="1">
        <v>167</v>
      </c>
      <c r="E306" s="1">
        <v>90</v>
      </c>
      <c r="F306" s="1">
        <v>19</v>
      </c>
      <c r="G306" s="1">
        <v>4461</v>
      </c>
      <c r="H306" s="3">
        <v>-1.379202127456665</v>
      </c>
      <c r="I306" t="s">
        <v>3</v>
      </c>
    </row>
    <row r="307" spans="1:9" x14ac:dyDescent="0.3">
      <c r="A307" s="1">
        <v>80101</v>
      </c>
      <c r="B307" s="1">
        <v>1455</v>
      </c>
      <c r="C307" s="1">
        <v>7619</v>
      </c>
      <c r="D307" s="1">
        <v>5946</v>
      </c>
      <c r="E307" s="1">
        <v>5130</v>
      </c>
      <c r="F307" s="1">
        <v>4574</v>
      </c>
      <c r="G307" s="1">
        <v>24724</v>
      </c>
      <c r="H307" s="3">
        <v>0.21750243008136749</v>
      </c>
      <c r="I307" t="s">
        <v>1</v>
      </c>
    </row>
    <row r="308" spans="1:9" x14ac:dyDescent="0.3">
      <c r="A308" s="1">
        <v>80102</v>
      </c>
      <c r="B308" s="1">
        <v>905</v>
      </c>
      <c r="C308" s="1">
        <v>285</v>
      </c>
      <c r="D308" s="1">
        <v>30</v>
      </c>
      <c r="E308" s="1">
        <v>5</v>
      </c>
      <c r="F308" s="1">
        <v>5</v>
      </c>
      <c r="G308" s="1">
        <v>1230</v>
      </c>
      <c r="H308" s="3">
        <v>-1.4415992498397827</v>
      </c>
      <c r="I308" t="s">
        <v>3</v>
      </c>
    </row>
    <row r="309" spans="1:9" x14ac:dyDescent="0.3">
      <c r="A309" s="1">
        <v>80201</v>
      </c>
      <c r="B309" s="1">
        <v>5140</v>
      </c>
      <c r="C309" s="1">
        <v>8444</v>
      </c>
      <c r="D309" s="1">
        <v>3265</v>
      </c>
      <c r="E309" s="1">
        <v>1692</v>
      </c>
      <c r="F309" s="1">
        <v>1047</v>
      </c>
      <c r="G309" s="1">
        <v>19588</v>
      </c>
      <c r="H309" s="3">
        <v>-0.48500457406044006</v>
      </c>
      <c r="I309" t="s">
        <v>2</v>
      </c>
    </row>
    <row r="310" spans="1:9" x14ac:dyDescent="0.3">
      <c r="A310" s="1">
        <v>80202</v>
      </c>
      <c r="B310" s="1">
        <v>1344</v>
      </c>
      <c r="C310" s="1">
        <v>2581</v>
      </c>
      <c r="D310" s="1">
        <v>1936</v>
      </c>
      <c r="E310" s="1">
        <v>1858</v>
      </c>
      <c r="F310" s="1">
        <v>1542</v>
      </c>
      <c r="G310" s="1">
        <v>9261</v>
      </c>
      <c r="H310" s="3">
        <v>2.0794583484530449E-2</v>
      </c>
      <c r="I310" t="s">
        <v>1</v>
      </c>
    </row>
    <row r="311" spans="1:9" x14ac:dyDescent="0.3">
      <c r="A311" s="1">
        <v>80301</v>
      </c>
      <c r="B311" s="1">
        <v>1558</v>
      </c>
      <c r="C311" s="1">
        <v>716</v>
      </c>
      <c r="D311" s="1">
        <v>467</v>
      </c>
      <c r="E311" s="1">
        <v>201</v>
      </c>
      <c r="F311" s="1">
        <v>20</v>
      </c>
      <c r="G311" s="1">
        <v>2962</v>
      </c>
      <c r="H311" s="3">
        <v>-0.98800164461135864</v>
      </c>
      <c r="I311" t="s">
        <v>4</v>
      </c>
    </row>
    <row r="312" spans="1:9" x14ac:dyDescent="0.3">
      <c r="A312" s="1">
        <v>80302</v>
      </c>
      <c r="B312" s="1">
        <v>4269</v>
      </c>
      <c r="C312" s="1">
        <v>2454</v>
      </c>
      <c r="D312" s="1">
        <v>1198</v>
      </c>
      <c r="E312" s="1">
        <v>1169</v>
      </c>
      <c r="F312" s="1">
        <v>322</v>
      </c>
      <c r="G312" s="1">
        <v>9412</v>
      </c>
      <c r="H312" s="3">
        <v>-0.7871367335319519</v>
      </c>
      <c r="I312" t="s">
        <v>5</v>
      </c>
    </row>
    <row r="313" spans="1:9" x14ac:dyDescent="0.3">
      <c r="A313" s="1">
        <v>80303</v>
      </c>
      <c r="B313" s="1">
        <v>831</v>
      </c>
      <c r="C313" s="1">
        <v>598</v>
      </c>
      <c r="D313" s="1">
        <v>309</v>
      </c>
      <c r="E313" s="1">
        <v>190</v>
      </c>
      <c r="F313" s="1">
        <v>48</v>
      </c>
      <c r="G313" s="1">
        <v>1976</v>
      </c>
      <c r="H313" s="3">
        <v>-0.78256648778915405</v>
      </c>
      <c r="I313" t="s">
        <v>5</v>
      </c>
    </row>
    <row r="314" spans="1:9" x14ac:dyDescent="0.3">
      <c r="A314" s="1">
        <v>80304</v>
      </c>
      <c r="B314" s="1">
        <v>1454</v>
      </c>
      <c r="C314" s="1">
        <v>1480</v>
      </c>
      <c r="D314" s="1">
        <v>758</v>
      </c>
      <c r="E314" s="1">
        <v>740</v>
      </c>
      <c r="F314" s="1">
        <v>425</v>
      </c>
      <c r="G314" s="1">
        <v>4857</v>
      </c>
      <c r="H314" s="3">
        <v>-0.40955883264541626</v>
      </c>
      <c r="I314" t="s">
        <v>2</v>
      </c>
    </row>
    <row r="315" spans="1:9" x14ac:dyDescent="0.3">
      <c r="A315" s="1">
        <v>80401</v>
      </c>
      <c r="B315" s="1">
        <v>1125</v>
      </c>
      <c r="C315" s="1">
        <v>1076</v>
      </c>
      <c r="D315" s="1">
        <v>652</v>
      </c>
      <c r="E315" s="1">
        <v>477</v>
      </c>
      <c r="F315" s="1">
        <v>382</v>
      </c>
      <c r="G315" s="1">
        <v>3712</v>
      </c>
      <c r="H315" s="3">
        <v>-0.42845755815505981</v>
      </c>
      <c r="I315" t="s">
        <v>2</v>
      </c>
    </row>
    <row r="316" spans="1:9" x14ac:dyDescent="0.3">
      <c r="A316" s="1">
        <v>80402</v>
      </c>
      <c r="B316" s="1">
        <v>746</v>
      </c>
      <c r="C316" s="1">
        <v>150</v>
      </c>
      <c r="D316" s="1">
        <v>31</v>
      </c>
      <c r="E316" s="1">
        <v>8</v>
      </c>
      <c r="F316" s="1">
        <v>3</v>
      </c>
      <c r="G316" s="1">
        <v>938</v>
      </c>
      <c r="H316" s="3">
        <v>-1.628190279006958</v>
      </c>
      <c r="I316" t="s">
        <v>3</v>
      </c>
    </row>
    <row r="317" spans="1:9" x14ac:dyDescent="0.3">
      <c r="A317" s="1">
        <v>80501</v>
      </c>
      <c r="B317" s="1">
        <v>2310</v>
      </c>
      <c r="C317" s="1">
        <v>1356</v>
      </c>
      <c r="D317" s="1">
        <v>467</v>
      </c>
      <c r="E317" s="1">
        <v>178</v>
      </c>
      <c r="F317" s="1">
        <v>43</v>
      </c>
      <c r="G317" s="1">
        <v>4354</v>
      </c>
      <c r="H317" s="3">
        <v>-1.037980318069458</v>
      </c>
      <c r="I317" t="s">
        <v>4</v>
      </c>
    </row>
    <row r="318" spans="1:9" x14ac:dyDescent="0.3">
      <c r="A318" s="1">
        <v>80601</v>
      </c>
      <c r="B318" s="1">
        <v>631</v>
      </c>
      <c r="C318" s="1">
        <v>164</v>
      </c>
      <c r="D318" s="1">
        <v>35</v>
      </c>
      <c r="E318" s="1">
        <v>23</v>
      </c>
      <c r="F318" s="1">
        <v>11</v>
      </c>
      <c r="G318" s="1">
        <v>864</v>
      </c>
      <c r="H318" s="3">
        <v>-1.3927077054977417</v>
      </c>
      <c r="I318" t="s">
        <v>3</v>
      </c>
    </row>
    <row r="319" spans="1:9" x14ac:dyDescent="0.3">
      <c r="A319" s="1">
        <v>80602</v>
      </c>
      <c r="B319" s="1">
        <v>1872</v>
      </c>
      <c r="C319" s="1">
        <v>972</v>
      </c>
      <c r="D319" s="1">
        <v>103</v>
      </c>
      <c r="E319" s="1">
        <v>40</v>
      </c>
      <c r="F319" s="1">
        <v>9</v>
      </c>
      <c r="G319" s="1">
        <v>2996</v>
      </c>
      <c r="H319" s="3">
        <v>-1.2249910831451416</v>
      </c>
      <c r="I319" t="s">
        <v>4</v>
      </c>
    </row>
    <row r="320" spans="1:9" x14ac:dyDescent="0.3">
      <c r="A320" s="1">
        <v>80701</v>
      </c>
      <c r="B320" s="1">
        <v>550</v>
      </c>
      <c r="C320" s="1">
        <v>432</v>
      </c>
      <c r="D320" s="1">
        <v>180</v>
      </c>
      <c r="E320" s="1">
        <v>75</v>
      </c>
      <c r="F320" s="1">
        <v>17</v>
      </c>
      <c r="G320" s="1">
        <v>1254</v>
      </c>
      <c r="H320" s="3">
        <v>-0.85535681247711182</v>
      </c>
      <c r="I320" t="s">
        <v>5</v>
      </c>
    </row>
    <row r="321" spans="1:9" x14ac:dyDescent="0.3">
      <c r="A321" s="1">
        <v>80702</v>
      </c>
      <c r="B321" s="1">
        <v>446</v>
      </c>
      <c r="C321" s="1">
        <v>426</v>
      </c>
      <c r="D321" s="1">
        <v>187</v>
      </c>
      <c r="E321" s="1">
        <v>70</v>
      </c>
      <c r="F321" s="1">
        <v>31</v>
      </c>
      <c r="G321" s="1">
        <v>1160</v>
      </c>
      <c r="H321" s="3">
        <v>-0.72901493310928345</v>
      </c>
      <c r="I321" t="s">
        <v>5</v>
      </c>
    </row>
    <row r="322" spans="1:9" x14ac:dyDescent="0.3">
      <c r="A322" s="1">
        <v>80703</v>
      </c>
      <c r="B322" s="1">
        <v>135</v>
      </c>
      <c r="C322" s="1">
        <v>50</v>
      </c>
      <c r="D322" s="1">
        <v>5</v>
      </c>
      <c r="E322" s="1">
        <v>4</v>
      </c>
      <c r="F322" s="1">
        <v>1</v>
      </c>
      <c r="G322" s="1">
        <v>195</v>
      </c>
      <c r="H322" s="3">
        <v>-1.3495087623596191</v>
      </c>
      <c r="I322" t="s">
        <v>3</v>
      </c>
    </row>
    <row r="323" spans="1:9" x14ac:dyDescent="0.3">
      <c r="A323" s="1">
        <v>80801</v>
      </c>
      <c r="B323" s="1">
        <v>968</v>
      </c>
      <c r="C323" s="1">
        <v>795</v>
      </c>
      <c r="D323" s="1">
        <v>298</v>
      </c>
      <c r="E323" s="1">
        <v>120</v>
      </c>
      <c r="F323" s="1">
        <v>51</v>
      </c>
      <c r="G323" s="1">
        <v>2232</v>
      </c>
      <c r="H323" s="3">
        <v>-0.83491909503936768</v>
      </c>
      <c r="I323" t="s">
        <v>5</v>
      </c>
    </row>
    <row r="324" spans="1:9" x14ac:dyDescent="0.3">
      <c r="A324" s="1">
        <v>80802</v>
      </c>
      <c r="B324" s="1">
        <v>836</v>
      </c>
      <c r="C324" s="1">
        <v>422</v>
      </c>
      <c r="D324" s="1">
        <v>76</v>
      </c>
      <c r="E324" s="1">
        <v>19</v>
      </c>
      <c r="F324" s="1">
        <v>3</v>
      </c>
      <c r="G324" s="1">
        <v>1356</v>
      </c>
      <c r="H324" s="3">
        <v>-1.1800688505172729</v>
      </c>
      <c r="I324" t="s">
        <v>4</v>
      </c>
    </row>
    <row r="325" spans="1:9" x14ac:dyDescent="0.3">
      <c r="A325" s="1">
        <v>80803</v>
      </c>
      <c r="B325" s="1">
        <v>345</v>
      </c>
      <c r="C325" s="1">
        <v>378</v>
      </c>
      <c r="D325" s="1">
        <v>75</v>
      </c>
      <c r="E325" s="1">
        <v>18</v>
      </c>
      <c r="F325" s="1">
        <v>3</v>
      </c>
      <c r="G325" s="1">
        <v>819</v>
      </c>
      <c r="H325" s="3">
        <v>-0.91012811660766602</v>
      </c>
      <c r="I325" t="s">
        <v>5</v>
      </c>
    </row>
    <row r="326" spans="1:9" x14ac:dyDescent="0.3">
      <c r="A326" s="1">
        <v>90101</v>
      </c>
      <c r="B326" s="1">
        <v>775</v>
      </c>
      <c r="C326" s="1">
        <v>3839</v>
      </c>
      <c r="D326" s="1">
        <v>3862</v>
      </c>
      <c r="E326" s="1">
        <v>2131</v>
      </c>
      <c r="F326" s="1">
        <v>1697</v>
      </c>
      <c r="G326" s="1">
        <v>12304</v>
      </c>
      <c r="H326" s="3">
        <v>0.1646999716758728</v>
      </c>
      <c r="I326" t="s">
        <v>1</v>
      </c>
    </row>
    <row r="327" spans="1:9" x14ac:dyDescent="0.3">
      <c r="A327" s="1">
        <v>90102</v>
      </c>
      <c r="B327" s="1">
        <v>492</v>
      </c>
      <c r="C327" s="1">
        <v>664</v>
      </c>
      <c r="D327" s="1">
        <v>344</v>
      </c>
      <c r="E327" s="1">
        <v>117</v>
      </c>
      <c r="F327" s="1">
        <v>38</v>
      </c>
      <c r="G327" s="1">
        <v>1655</v>
      </c>
      <c r="H327" s="3">
        <v>-0.51679903268814087</v>
      </c>
      <c r="I327" t="s">
        <v>2</v>
      </c>
    </row>
    <row r="328" spans="1:9" x14ac:dyDescent="0.3">
      <c r="A328" s="1">
        <v>90103</v>
      </c>
      <c r="B328" s="1">
        <v>456</v>
      </c>
      <c r="C328" s="1">
        <v>87</v>
      </c>
      <c r="D328" s="1">
        <v>2</v>
      </c>
      <c r="E328" s="1">
        <v>0</v>
      </c>
      <c r="F328" s="1">
        <v>0</v>
      </c>
      <c r="G328" s="1">
        <v>545</v>
      </c>
      <c r="H328" s="3">
        <v>-1.5471516847610474</v>
      </c>
      <c r="I328" t="s">
        <v>3</v>
      </c>
    </row>
    <row r="329" spans="1:9" x14ac:dyDescent="0.3">
      <c r="A329" s="1">
        <v>90104</v>
      </c>
      <c r="B329" s="1">
        <v>576</v>
      </c>
      <c r="C329" s="1">
        <v>344</v>
      </c>
      <c r="D329" s="1">
        <v>23</v>
      </c>
      <c r="E329" s="1">
        <v>1</v>
      </c>
      <c r="F329" s="1">
        <v>0</v>
      </c>
      <c r="G329" s="1">
        <v>944</v>
      </c>
      <c r="H329" s="3">
        <v>-1.1895897388458252</v>
      </c>
      <c r="I329" t="s">
        <v>4</v>
      </c>
    </row>
    <row r="330" spans="1:9" x14ac:dyDescent="0.3">
      <c r="A330" s="1">
        <v>90201</v>
      </c>
      <c r="B330" s="1">
        <v>685</v>
      </c>
      <c r="C330" s="1">
        <v>553</v>
      </c>
      <c r="D330" s="1">
        <v>122</v>
      </c>
      <c r="E330" s="1">
        <v>18</v>
      </c>
      <c r="F330" s="1">
        <v>4</v>
      </c>
      <c r="G330" s="1">
        <v>1382</v>
      </c>
      <c r="H330" s="3">
        <v>-1.0100283622741699</v>
      </c>
      <c r="I330" t="s">
        <v>4</v>
      </c>
    </row>
    <row r="331" spans="1:9" x14ac:dyDescent="0.3">
      <c r="A331" s="1">
        <v>90202</v>
      </c>
      <c r="B331" s="1">
        <v>600</v>
      </c>
      <c r="C331" s="1">
        <v>11</v>
      </c>
      <c r="D331" s="1">
        <v>0</v>
      </c>
      <c r="E331" s="1">
        <v>0</v>
      </c>
      <c r="F331" s="1">
        <v>0</v>
      </c>
      <c r="G331" s="1">
        <v>611</v>
      </c>
      <c r="H331" s="3">
        <v>-2.0384178161621094</v>
      </c>
      <c r="I331" t="s">
        <v>3</v>
      </c>
    </row>
    <row r="332" spans="1:9" x14ac:dyDescent="0.3">
      <c r="A332" s="1">
        <v>90203</v>
      </c>
      <c r="B332" s="1">
        <v>1095</v>
      </c>
      <c r="C332" s="1">
        <v>305</v>
      </c>
      <c r="D332" s="1">
        <v>23</v>
      </c>
      <c r="E332" s="1">
        <v>3</v>
      </c>
      <c r="F332" s="1">
        <v>1</v>
      </c>
      <c r="G332" s="1">
        <v>1427</v>
      </c>
      <c r="H332" s="3">
        <v>-1.4251720905303955</v>
      </c>
      <c r="I332" t="s">
        <v>3</v>
      </c>
    </row>
    <row r="333" spans="1:9" x14ac:dyDescent="0.3">
      <c r="A333" s="1">
        <v>90301</v>
      </c>
      <c r="B333" s="1">
        <v>817</v>
      </c>
      <c r="C333" s="1">
        <v>180</v>
      </c>
      <c r="D333" s="1">
        <v>21</v>
      </c>
      <c r="E333" s="1">
        <v>8</v>
      </c>
      <c r="F333" s="1">
        <v>0</v>
      </c>
      <c r="G333" s="1">
        <v>1026</v>
      </c>
      <c r="H333" s="3">
        <v>-1.5321595668792725</v>
      </c>
      <c r="I333" t="s">
        <v>3</v>
      </c>
    </row>
    <row r="334" spans="1:9" x14ac:dyDescent="0.3">
      <c r="A334" s="1">
        <v>90302</v>
      </c>
      <c r="B334" s="1">
        <v>1168</v>
      </c>
      <c r="C334" s="1">
        <v>170</v>
      </c>
      <c r="D334" s="1">
        <v>4</v>
      </c>
      <c r="E334" s="1">
        <v>0</v>
      </c>
      <c r="F334" s="1">
        <v>0</v>
      </c>
      <c r="G334" s="1">
        <v>1342</v>
      </c>
      <c r="H334" s="3">
        <v>-1.6689234972000122</v>
      </c>
      <c r="I334" t="s">
        <v>3</v>
      </c>
    </row>
    <row r="335" spans="1:9" x14ac:dyDescent="0.3">
      <c r="A335" s="1">
        <v>90303</v>
      </c>
      <c r="B335" s="1">
        <v>1568</v>
      </c>
      <c r="C335" s="1">
        <v>81</v>
      </c>
      <c r="D335" s="1">
        <v>3</v>
      </c>
      <c r="E335" s="1">
        <v>1</v>
      </c>
      <c r="F335" s="1">
        <v>0</v>
      </c>
      <c r="G335" s="1">
        <v>1653</v>
      </c>
      <c r="H335" s="3">
        <v>-2.0046515464782715</v>
      </c>
      <c r="I335" t="s">
        <v>3</v>
      </c>
    </row>
    <row r="336" spans="1:9" x14ac:dyDescent="0.3">
      <c r="A336" s="1">
        <v>90401</v>
      </c>
      <c r="B336" s="1">
        <v>380</v>
      </c>
      <c r="C336" s="1">
        <v>210</v>
      </c>
      <c r="D336" s="1">
        <v>21</v>
      </c>
      <c r="E336" s="1">
        <v>0</v>
      </c>
      <c r="F336" s="1">
        <v>0</v>
      </c>
      <c r="G336" s="1">
        <v>611</v>
      </c>
      <c r="H336" s="3">
        <v>-1.2278860807418823</v>
      </c>
      <c r="I336" t="s">
        <v>4</v>
      </c>
    </row>
    <row r="337" spans="1:9" x14ac:dyDescent="0.3">
      <c r="A337" s="1">
        <v>90402</v>
      </c>
      <c r="B337" s="1">
        <v>286</v>
      </c>
      <c r="C337" s="1">
        <v>53</v>
      </c>
      <c r="D337" s="1">
        <v>5</v>
      </c>
      <c r="E337" s="1">
        <v>0</v>
      </c>
      <c r="F337" s="1">
        <v>0</v>
      </c>
      <c r="G337" s="1">
        <v>344</v>
      </c>
      <c r="H337" s="3">
        <v>-1.5622082948684692</v>
      </c>
      <c r="I337" t="s">
        <v>3</v>
      </c>
    </row>
    <row r="338" spans="1:9" x14ac:dyDescent="0.3">
      <c r="A338" s="1">
        <v>90501</v>
      </c>
      <c r="B338" s="1">
        <v>392</v>
      </c>
      <c r="C338" s="1">
        <v>73</v>
      </c>
      <c r="D338" s="1">
        <v>1</v>
      </c>
      <c r="E338" s="1">
        <v>0</v>
      </c>
      <c r="F338" s="1">
        <v>0</v>
      </c>
      <c r="G338" s="1">
        <v>466</v>
      </c>
      <c r="H338" s="3">
        <v>-1.7212851047515869</v>
      </c>
      <c r="I338" t="s">
        <v>3</v>
      </c>
    </row>
    <row r="339" spans="1:9" x14ac:dyDescent="0.3">
      <c r="A339" s="1">
        <v>90502</v>
      </c>
      <c r="B339" s="1">
        <v>436</v>
      </c>
      <c r="C339" s="1">
        <v>136</v>
      </c>
      <c r="D339" s="1">
        <v>15</v>
      </c>
      <c r="E339" s="1">
        <v>2</v>
      </c>
      <c r="F339" s="1">
        <v>0</v>
      </c>
      <c r="G339" s="1">
        <v>589</v>
      </c>
      <c r="H339" s="3">
        <v>-1.5326101779937744</v>
      </c>
      <c r="I339" t="s">
        <v>3</v>
      </c>
    </row>
    <row r="340" spans="1:9" x14ac:dyDescent="0.3">
      <c r="A340" s="1">
        <v>90503</v>
      </c>
      <c r="B340" s="1">
        <v>447</v>
      </c>
      <c r="C340" s="1">
        <v>19</v>
      </c>
      <c r="D340" s="1">
        <v>0</v>
      </c>
      <c r="E340" s="1">
        <v>0</v>
      </c>
      <c r="F340" s="1">
        <v>0</v>
      </c>
      <c r="G340" s="1">
        <v>466</v>
      </c>
      <c r="H340" s="3">
        <v>-1.9294798374176025</v>
      </c>
      <c r="I340" t="s">
        <v>3</v>
      </c>
    </row>
    <row r="342" spans="1:9" x14ac:dyDescent="0.3">
      <c r="H342" s="3">
        <f>AVERAGE(H2:H340)</f>
        <v>-0.75699481224520326</v>
      </c>
      <c r="I342" s="3">
        <f>H342+H343</f>
        <v>-0.17484414956064009</v>
      </c>
    </row>
    <row r="343" spans="1:9" x14ac:dyDescent="0.3">
      <c r="H343">
        <f>STDEVA(H2:H340)</f>
        <v>0.58215066268456317</v>
      </c>
      <c r="I343" s="3">
        <f>H342-H343</f>
        <v>-1.3391454749297664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202BB-EB98-49EA-A91C-FB71E639E8E2}">
  <dimension ref="A1"/>
  <sheetViews>
    <sheetView zoomScale="70" zoomScaleNormal="70" workbookViewId="0">
      <selection activeCell="B4" sqref="B4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mapa_wi_2012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Paolo</cp:lastModifiedBy>
  <dcterms:created xsi:type="dcterms:W3CDTF">2026-01-13T20:21:54Z</dcterms:created>
  <dcterms:modified xsi:type="dcterms:W3CDTF">2026-01-13T22:09:36Z</dcterms:modified>
</cp:coreProperties>
</file>